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230825\Downloads\"/>
    </mc:Choice>
  </mc:AlternateContent>
  <xr:revisionPtr revIDLastSave="0" documentId="8_{97A91F42-3222-4FDE-89F6-5BB0368715A4}" xr6:coauthVersionLast="47" xr6:coauthVersionMax="47" xr10:uidLastSave="{00000000-0000-0000-0000-000000000000}"/>
  <bookViews>
    <workbookView xWindow="1905" yWindow="1905" windowWidth="21600" windowHeight="12645" firstSheet="1" activeTab="1" xr2:uid="{00000000-000D-0000-FFFF-FFFF00000000}"/>
  </bookViews>
  <sheets>
    <sheet name="渠道培训中心基础信息" sheetId="1" r:id="rId1"/>
    <sheet name="Sheet1" sheetId="6" r:id="rId2"/>
    <sheet name="渠道承接方案信息" sheetId="2" r:id="rId3"/>
    <sheet name="历史基础信息" sheetId="3" r:id="rId4"/>
    <sheet name="历史方案信息" sheetId="4" r:id="rId5"/>
    <sheet name="基础信息" sheetId="5" r:id="rId6"/>
  </sheets>
  <definedNames>
    <definedName name="_xlnm._FilterDatabase" localSheetId="1" hidden="1">Sheet1!$A$1:$Q$53</definedName>
    <definedName name="_xlnm._FilterDatabase" localSheetId="4" hidden="1">历史方案信息!$A$1:$K$1</definedName>
    <definedName name="_xlnm._FilterDatabase" localSheetId="3" hidden="1">历史基础信息!$A$1:$L$1</definedName>
    <definedName name="_xlnm._FilterDatabase" localSheetId="0" hidden="1">渠道培训中心基础信息!$A$1:$Q$1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</calcChain>
</file>

<file path=xl/sharedStrings.xml><?xml version="1.0" encoding="utf-8"?>
<sst xmlns="http://schemas.openxmlformats.org/spreadsheetml/2006/main" count="3170" uniqueCount="703">
  <si>
    <t>培训中心全称</t>
  </si>
  <si>
    <t>分公司</t>
  </si>
  <si>
    <t>区域</t>
  </si>
  <si>
    <t>名称变更</t>
  </si>
  <si>
    <t xml:space="preserve">
服务签约公司名称</t>
  </si>
  <si>
    <t>渠道商等级</t>
  </si>
  <si>
    <t>培训中心教室信息</t>
  </si>
  <si>
    <t>培训样机说明</t>
  </si>
  <si>
    <t>培训中心地址</t>
  </si>
  <si>
    <t>培训中心电话</t>
  </si>
  <si>
    <t>培训中心培训对接人
（仅一个人，支持系统排班，含工号）</t>
  </si>
  <si>
    <t>对接人邮箱</t>
  </si>
  <si>
    <t>对接人手机</t>
  </si>
  <si>
    <t>收款信息</t>
  </si>
  <si>
    <t>发票类型</t>
  </si>
  <si>
    <t>税率</t>
  </si>
  <si>
    <t>备注</t>
  </si>
  <si>
    <t>新疆九州通医疗科技有限公司</t>
  </si>
  <si>
    <t>新疆</t>
  </si>
  <si>
    <t>西北区</t>
  </si>
  <si>
    <t>教室面积，容纳人数</t>
  </si>
  <si>
    <t>BC-75CRP*2</t>
  </si>
  <si>
    <t>兰州恺尔有商贸有限公司</t>
  </si>
  <si>
    <t>兰州</t>
  </si>
  <si>
    <t>成都瑞坤科技有限公司</t>
  </si>
  <si>
    <t>成都</t>
  </si>
  <si>
    <t>西南区</t>
  </si>
  <si>
    <t>博实医疗保健（上海）有限公司</t>
  </si>
  <si>
    <t>上海</t>
  </si>
  <si>
    <t>华东区</t>
  </si>
  <si>
    <t>广州艾维迪生物技术有限公司</t>
  </si>
  <si>
    <t>广州</t>
  </si>
  <si>
    <t>华南区</t>
  </si>
  <si>
    <t>湖北瑞智达科技有限公司</t>
  </si>
  <si>
    <t>武汉</t>
  </si>
  <si>
    <t>广西铂泓生物科技有限公司</t>
  </si>
  <si>
    <t>南宁</t>
  </si>
  <si>
    <t>四川国科康仪医疗科技有限公司</t>
  </si>
  <si>
    <t>河南迈德瑞医疗服务供应链有限公司</t>
  </si>
  <si>
    <t>郑州</t>
  </si>
  <si>
    <t>瑞帆（沈阳）医疗器械销售服务有限公司</t>
  </si>
  <si>
    <t>沈阳</t>
  </si>
  <si>
    <t>东北区</t>
  </si>
  <si>
    <t>浙江英特百善医疗设备有限公司</t>
  </si>
  <si>
    <t>杭州</t>
  </si>
  <si>
    <t>广西讴健供应链管理集团有限公司</t>
  </si>
  <si>
    <t>河南晟宝电子技术有限公司</t>
  </si>
  <si>
    <t>安徽赛威思医疗供应链服务有限公司</t>
  </si>
  <si>
    <t>合肥</t>
  </si>
  <si>
    <t>科海同业河北医疗器械贸易有限公司</t>
  </si>
  <si>
    <t>石家庄</t>
  </si>
  <si>
    <t>华北区</t>
  </si>
  <si>
    <t>四川瑞孚医疗科技股份有限公司</t>
  </si>
  <si>
    <t>甘肃赣陇医疗科技有限公司</t>
  </si>
  <si>
    <t>西安尚肯电子科技有限公司</t>
  </si>
  <si>
    <t>西安</t>
  </si>
  <si>
    <t>四川精晶科技发展有限责任公司</t>
  </si>
  <si>
    <t>广东美馗生物技术有限公司</t>
  </si>
  <si>
    <t>吉林省鸿嘉医疗器械有限公司</t>
  </si>
  <si>
    <t>黑吉</t>
  </si>
  <si>
    <t>辽宁医工技术服务有限公司</t>
  </si>
  <si>
    <t>辽宁九诺生物科技有限公司</t>
  </si>
  <si>
    <t>杭州华景医疗科技有限公司</t>
  </si>
  <si>
    <t>北京东南仪诚实验室设备有限公司</t>
  </si>
  <si>
    <t>北京</t>
  </si>
  <si>
    <t>河北钧溢祥医疗科技有限公司</t>
  </si>
  <si>
    <t>江西吉迈医疗科技有限公司</t>
  </si>
  <si>
    <t>南昌</t>
  </si>
  <si>
    <t>湖南康锦元科技有限公司</t>
  </si>
  <si>
    <t>长沙</t>
  </si>
  <si>
    <t>海南凯曼生物科技有限公司</t>
  </si>
  <si>
    <t>海南</t>
  </si>
  <si>
    <t>深圳市迈加生物医疗有限公司</t>
  </si>
  <si>
    <t>深圳</t>
  </si>
  <si>
    <t>济南逸兴恒运电子科技有限公司</t>
  </si>
  <si>
    <t>济南</t>
  </si>
  <si>
    <t>内蒙古众智医工技术服务有限公司</t>
  </si>
  <si>
    <t>内蒙古</t>
  </si>
  <si>
    <t>云南晟新达医疗器械有限公司</t>
  </si>
  <si>
    <t>昆明</t>
  </si>
  <si>
    <t>成都泓然明吉商贸有限公司</t>
  </si>
  <si>
    <t>南京贝登医疗股份有限公司</t>
  </si>
  <si>
    <t>南京</t>
  </si>
  <si>
    <t>郑州青旭医疗科技有限公司</t>
  </si>
  <si>
    <t>沈阳柏诺医疗电子科技有限公司</t>
  </si>
  <si>
    <t>安徽蓝创生物科技有限公司</t>
  </si>
  <si>
    <t>江西恒嘉信生物科技有限公司</t>
  </si>
  <si>
    <t>陕西沃尔克贸易有限公司</t>
  </si>
  <si>
    <t>沈阳佳得易成商贸有限公司</t>
  </si>
  <si>
    <t>广州兆邦医疗科技有限公司</t>
  </si>
  <si>
    <t>江西楠海医疗设备有限公司</t>
  </si>
  <si>
    <t>广州致菱医疗供应链管理有限公司</t>
  </si>
  <si>
    <t>北京迅捷康达医学技术有限公司</t>
  </si>
  <si>
    <t>陕西瑞孚医疗科技有限公司</t>
  </si>
  <si>
    <t>哈尔滨众泰医疗科技发展有限公司</t>
  </si>
  <si>
    <t>哈尔滨</t>
  </si>
  <si>
    <t>江西诚珏贸易有限公司</t>
  </si>
  <si>
    <t>北京旭日鸿升生物技术有限公司</t>
  </si>
  <si>
    <t>青岛泰达医疗器械有限公司</t>
  </si>
  <si>
    <t>青岛</t>
  </si>
  <si>
    <t>昆明康骐科技有限公司</t>
  </si>
  <si>
    <t>重庆瑞智盟</t>
  </si>
  <si>
    <t>重庆</t>
  </si>
  <si>
    <t>新疆九州通医疗服务有限公司</t>
  </si>
  <si>
    <t>V3.0</t>
  </si>
  <si>
    <t>教室面积80平方，容纳人数40人</t>
  </si>
  <si>
    <t>新疆乌鲁木齐高新区（新市区）鲤鱼山北
路199号驰达-电子信息产业加速器1栋608号</t>
  </si>
  <si>
    <t>0991-3075000</t>
  </si>
  <si>
    <t>师灿灿</t>
  </si>
  <si>
    <t>1433825820@qq.com</t>
  </si>
  <si>
    <t>单位名称:新疆中品医疗科技有限公司
税号: 91650104MA78W1CL2H
注册地址:新疆乌鲁木齐高新区（新市区）鲤鱼山北路199号驰达-电子信息产业加速器1栋501-504号
开户银行:招商银行乌鲁木齐北京路支行
账号: 991905464910601
行号:308881029067</t>
  </si>
  <si>
    <t>增值税专用发票/增值税普通发票：培训费</t>
  </si>
  <si>
    <t>甘肃省兰州市城关区南滨河东路5198号名城广场1幢2单元14楼19室</t>
  </si>
  <si>
    <t>0931-8526183</t>
  </si>
  <si>
    <t>王洁</t>
  </si>
  <si>
    <t>kry8526183@163.com</t>
  </si>
  <si>
    <t>名称：兰州恺尔有商贸有限公司
税号：91627100MA7DC2JT0C
单位地址：甘肃省兰州市兰州新区绿地集团一期G地块渭河街3103号8A-19室
电话：09318526183
开户银行：中国建设银行兰州城关支行
银行账户：62050136000100001000</t>
  </si>
  <si>
    <t>增值税专用发票/增值税普通发票：维修费或维护费</t>
  </si>
  <si>
    <t>四川省成都市武侯区武科西四路99号金地威新科创园3栋3楼301室</t>
  </si>
  <si>
    <t>028-87799602</t>
  </si>
  <si>
    <t>陈宏</t>
  </si>
  <si>
    <t xml:space="preserve">103045739@qq.com </t>
  </si>
  <si>
    <t>公司名：南充市顺庆区吉哆商务信息咨询服务部(个体工商户)
开户行：中国工商银行股份有限公司南充石油南路支
行
账  号：2315539209100080846</t>
  </si>
  <si>
    <t>增值税专用发票/增值税普通发票：维修费</t>
  </si>
  <si>
    <t>上海市奉贤区环城北路1099号</t>
  </si>
  <si>
    <t>021-61213287</t>
  </si>
  <si>
    <t>卞小姐</t>
  </si>
  <si>
    <t>bianlili@boshi-diagnostics.com</t>
  </si>
  <si>
    <t>公司名：博实医疗保健（上海）有限公司
地 址：上海市金山区金山卫镇秋实路688号9幢（金山新材料孵化器)
电  话：021-67181810
开户行：工商银行徐汇裕德路支行
账  号：1001270209300105185</t>
  </si>
  <si>
    <t>增值税专用发票/增值税普通发票：维修费或技术服务费</t>
  </si>
  <si>
    <t>13%或6%</t>
  </si>
  <si>
    <t>广州市番禺区东环街天保路6号易事达大厦一楼105号</t>
  </si>
  <si>
    <t>-</t>
  </si>
  <si>
    <t>杨锦婵</t>
  </si>
  <si>
    <t>3601907146@qq.com</t>
  </si>
  <si>
    <t>名称：广州艾维迪生物技术有限公司
纳税人识别号：91440101MA59TP8L3N
地址：广州市番禺区东环街天保路6号105铺之三
电话：020-31046729
开户行：中国银行广州番禺巨大产业园支行
帐号：645772162272</t>
  </si>
  <si>
    <t>增值税专用发票:培训服务票</t>
  </si>
  <si>
    <t>武汉市东西湖区金山达到1312号金海工业园6楼培训室</t>
  </si>
  <si>
    <t>027-83266623</t>
  </si>
  <si>
    <t>加燕楠</t>
  </si>
  <si>
    <t>1173256815@qq.com</t>
  </si>
  <si>
    <t>武汉鑫瑞丰华科贸有限公司
开户行：中国工商银行武汉海关支行
帐号:3202 1230 1910 0016 820</t>
  </si>
  <si>
    <t>增值税专用发票/增值税普通发票：培训服务费</t>
  </si>
  <si>
    <t>广西壮族自治区南宁市良庆区中国（广西）自由贸易试验区南宁片区华威路 16 号南向电子信息产业园 3 号楼 4 楼A-01、A-02室</t>
  </si>
  <si>
    <t>0771-4972859</t>
  </si>
  <si>
    <t>万雨雯</t>
  </si>
  <si>
    <t>3984112127@qq.com</t>
  </si>
  <si>
    <t>公司名：广西铂泓生物科技有限公司
地址：中国（广西）自由贸易试验区南宁片区凯旋路9号海尔青啤（东盟）联合广场2号楼五层503号办公室
电话：0771-4972859
开户行：中国光大银行股份有限公司南宁分行
账号：78890188000660007</t>
  </si>
  <si>
    <t>增值税专用发票/增值税普通发票：培训费/维修费</t>
  </si>
  <si>
    <t>6%/13%</t>
  </si>
  <si>
    <t>四川省成都市金牛区沙河源街道金丰路106号量力医药健康城7号楼12楼</t>
  </si>
  <si>
    <t>028-87776785</t>
  </si>
  <si>
    <t>敖春花</t>
  </si>
  <si>
    <t>309751765@qq.com</t>
  </si>
  <si>
    <t>名称：四川世纪同昌医疗科技发展有限公司
地址：四川省成都市金牛区友联一街8号12楼1206-1208号
邮编：610000  
电话：028-87579357
开户银行：成都银行抚琴支行
账号：1001300000983113</t>
  </si>
  <si>
    <t>增值税专用发票/增值税普通发票：服务费</t>
  </si>
  <si>
    <t>河南省郑州经济技术开发区第七大街188号院3号楼2楼</t>
  </si>
  <si>
    <t>0371-63827260</t>
  </si>
  <si>
    <t>黄晴</t>
  </si>
  <si>
    <t>huangqing@hnmdr.com</t>
  </si>
  <si>
    <t>公司名：河南迈德瑞医疗服务供应链有限公司
地 址：郑州经济技术开发区第七大街188号院3号楼2楼
邮 编：450000   电  话：0371-63827260
开户行：招商银行股份有限公司郑州经开区支行
账  号：371905274710802</t>
  </si>
  <si>
    <t>增值税专用发票/增值税普通发票：咨询服务费</t>
  </si>
  <si>
    <t>辽宁省沈阳市于洪区吉力湖街 228-1 号（21 门、22 门）</t>
  </si>
  <si>
    <t>常艳玲</t>
  </si>
  <si>
    <t>1359995947@qq.com</t>
  </si>
  <si>
    <t>单位名称：沈阳雅努斯商贸有限公司
 开 户 行：中国光大银行沈阳金城支行
 账   号：75670188000258883
 地   址：辽宁省沈阳市于洪区阳光路26-1号（202）
电   话：024-31226855
 纳税人识别号：912101145734966210</t>
  </si>
  <si>
    <t>浙江省杭州市西湖区蒋村街道双龙街239号西投创智中心1号楼5层502室</t>
  </si>
  <si>
    <t>0571-87131103</t>
  </si>
  <si>
    <t>金芳</t>
  </si>
  <si>
    <t>1182784991@qq.com</t>
  </si>
  <si>
    <t>公司名称：  浙江英特百善医疗设备有限公司
税务登记号：91330106079348885U
税务登记地址：浙江省杭州市西湖区蒋村街道双龙街239号西投创智中心1号楼5层502室
税务登记电话：0571-87131103
税务登记开户银行名称：中国工商银行股份有限公司杭州古墩路支行
税务登记银行账号：1202224909900169993
百善开户行行号：102331002495</t>
  </si>
  <si>
    <t>增值税专用发票</t>
  </si>
  <si>
    <t>南宁市江南区金凯路106号联东U谷南宁经开科技港标准厂房16号厂房5楼</t>
  </si>
  <si>
    <t>0771-4891028</t>
  </si>
  <si>
    <t>郭尧</t>
  </si>
  <si>
    <t>pxzx@ojscg.com</t>
  </si>
  <si>
    <t>公司名称：广西讴健供应链管理集团有限公司
地址：南宁市金凯路106号联东U谷南宁经开科技港标准厂房16号厂房101号房
邮 编：530031   电话：0771-4891028
开户行：中国银行南宁市桃源支行
账  号：618482498077</t>
  </si>
  <si>
    <t>河南省郑州市高新区莲花街联东U谷-郑州高新国际企业港18号-2号楼501</t>
  </si>
  <si>
    <t>0371-55919089</t>
  </si>
  <si>
    <t>汪晓锋</t>
  </si>
  <si>
    <t>863637991@qq.com</t>
  </si>
  <si>
    <t>开票资料
单 位  名 称：河南晟宝电子技术有限公司
纳税人识别号：91410100MA3X9WQH3B
地 址、电 话：河南省郑州市高新区莲花街联东U谷-郑州高新国际企业港18号-2号楼401 0371-55919089
开户行及账号：中国银行股份有限公司郑州高新技术开发区支行258549558281</t>
  </si>
  <si>
    <t>增值税专用发票/技术服务费</t>
  </si>
  <si>
    <t>安徽省合肥市包河区上海路18号淮仁堂4楼8401室</t>
  </si>
  <si>
    <t>0551-62680075</t>
  </si>
  <si>
    <t>胡娟</t>
  </si>
  <si>
    <t>18712179581@163.com</t>
  </si>
  <si>
    <t>公司名称：安徽赛威思医疗供应链服务有限公司
地 址：安徽省合肥市包河区上海路18号淮仁堂4楼8401室
邮 编：230000  电  话：0551-62680075
开户行：中国建设银行合肥银杏苑支行
账  号：34050145090600000167</t>
  </si>
  <si>
    <t>增值税专用发票/增值税普通发票：服务费或技术服务费</t>
  </si>
  <si>
    <t>河北省石家庄市桥西区新石中路375号金石大厦C座7楼</t>
  </si>
  <si>
    <t>刘刚</t>
  </si>
  <si>
    <t>469997060@qq.com</t>
  </si>
  <si>
    <t xml:space="preserve">科海同业河北医疗器械贸易有限公司开票信息
公司名称：科海同业河北医疗器械贸易有限公司
开户行：建行石家庄红旗大街支行
账  号：13050161560800000996
税  号：91130104MA0CX2RJ07
地  址：河北省石家庄市桥西区新石中路375号金石大厦C座7楼722-726室
电  话：0311-83809982 </t>
  </si>
  <si>
    <t>增值税专用发票/增值税普通发票：维修费或技术服务咨询</t>
  </si>
  <si>
    <t>成都市锦江区创意工业园毕昇路468号创世纪大厦1栋30层</t>
  </si>
  <si>
    <t>王春艳</t>
  </si>
  <si>
    <t>936051093@qq.com</t>
  </si>
  <si>
    <t>户名：四川瑞孚医疗科技股份有限公司
开户行：成都银行股份有限公司锦江工业园支行
银行账号：1001300001082677
纳税人识别号：91510100MAC4G1J97E
公司地址：四川省成都市锦江区创意工业园毕昇路466号、468号1栋30层1号
公司电话：028-85212668</t>
  </si>
  <si>
    <t>增值税专用发票：服务费或技术服务费</t>
  </si>
  <si>
    <t>甘肃省兰州市安宁区沙井驿街道北滨河西路1272号（兰州国际家居建材博览城B1区第9幢301室）</t>
  </si>
  <si>
    <t>程生宝</t>
  </si>
  <si>
    <t>2479419728@qq.com</t>
  </si>
  <si>
    <t>公司名：甘肃赣陇医疗科技有限公司
地 址：甘肃省兰州市七里河区中天健11栋2201室
邮 编：730050   电  话：0931-7894298
开户行：交通银行兰州七里河支行
账  号：621060108013000133112</t>
  </si>
  <si>
    <t>陕西省西安市雁塔区高新区团结南路12号西安国际人才大厦A座1001室</t>
  </si>
  <si>
    <t>029-88451665</t>
  </si>
  <si>
    <t>成年</t>
  </si>
  <si>
    <t>1183439346@qq.com</t>
  </si>
  <si>
    <t>公司名：西安尚肯电子科技有限公司
地 址：西安市高新区唐延南路十一号3幢1单元11627室
税号：9161 0131 3224 0244 08
邮 编：710000  电  话：029－88451665
开户行：中国银行股份有限公司西安逸翠园支行
账  号：1024 5129 5214</t>
  </si>
  <si>
    <t>培训费，专票</t>
  </si>
  <si>
    <t>四川省成都市金牛区蜀西路42号三泰魔方B2栋904室</t>
  </si>
  <si>
    <t>028-83178198</t>
  </si>
  <si>
    <t>臧鹏</t>
  </si>
  <si>
    <t>113317031@QQ.COM</t>
  </si>
  <si>
    <t>　</t>
  </si>
  <si>
    <t>广东省广州市番禺区南村镇兴业大道488号群兴科创园A栋307室</t>
  </si>
  <si>
    <t>020-31052118</t>
  </si>
  <si>
    <t>区伟民</t>
  </si>
  <si>
    <t>499674663@QQ.com</t>
  </si>
  <si>
    <t>公司名：广东美馗生物技术有限公司
地 址：广州市番禺区市桥街兴泰路264号基盛万科大厦A栋602室
邮 编：511400  电  话：02031052118
开户行：中国工商银行股份有限公司广州大石支行
账  号：3602074819100483913</t>
  </si>
  <si>
    <t>增税专票/普票</t>
  </si>
  <si>
    <t>吉林省长春市宽城区龙腾路1377号汇酉生物五楼会议室</t>
  </si>
  <si>
    <t>0431-88922378</t>
  </si>
  <si>
    <t>王颖</t>
  </si>
  <si>
    <t>cchlkj@163.com</t>
  </si>
  <si>
    <t>公司名称：吉林省鸿嘉医疗器械有限公司税    号：9122 0104 6833 7279 36开 户 行：中国工商银行长春同志街支行账    号：4200 2291 0920 0051 752</t>
  </si>
  <si>
    <t>增值税专用发票/增值税普通发票：维修费、服务费或现代服务</t>
  </si>
  <si>
    <t>辽宁省沈阳市和平区文艺路11号902</t>
  </si>
  <si>
    <t>024-25258227</t>
  </si>
  <si>
    <t>田佳鹭</t>
  </si>
  <si>
    <t>2531008545@qq.com</t>
  </si>
  <si>
    <t>公 司：辽宁医工技术服务有限公司
地 址：沈阳市和平区文艺路11号902
邮 编：110001 电 话：024-25258227
开户行：中国民生银行股份有限公司沈阳青年大街支行  账  号：641894345</t>
  </si>
  <si>
    <t>沈阳市浑南区朗日街22号1门</t>
  </si>
  <si>
    <t>024-31810269</t>
  </si>
  <si>
    <t>张伟华</t>
  </si>
  <si>
    <t>122381661@qq.com</t>
  </si>
  <si>
    <t>名称:沈阳卓康商贸有限公司
帐号：0618 4001 0400 23398
开户行：农业银行沈阳兴华支行
行号：103221018405</t>
  </si>
  <si>
    <t>浙江省杭州市萧山区萧山经济技术开
发区启迪路 198 号 B1-1001-01 室</t>
  </si>
  <si>
    <t>金冠盛</t>
  </si>
  <si>
    <t>hzxsjgs@163.com</t>
  </si>
  <si>
    <t>单位全称 杭州华景医疗科技有限公司
税号 91330108MA28NFUK9G
开户银行 杭州银行萧山城厢支行
银行账号 3301040160016610662
地址 浙江省杭州市萧山区萧山经济技术开
发区启迪路 198 号 B1-1001-01 室
电话 0571-86712990</t>
  </si>
  <si>
    <t>北京市海淀区杏石口路30号A区119号</t>
  </si>
  <si>
    <t>王川</t>
  </si>
  <si>
    <t>24160300@qq.com</t>
  </si>
  <si>
    <t>公司名：北京东南仪诚实验室设备有限公司
地 址：北京市海淀区杏石口路30号A区307号 010-51668855 
邮编：100195
税 号：911101087393532696
开户行及账号：工行西直门支行0200065009200031207
行号：102100006502</t>
  </si>
  <si>
    <t>增值税专用发票/增值税普通发票：咨询服务</t>
  </si>
  <si>
    <t>河北省唐山市高新技术产业园区火炬路410号联东U谷产业园10#-1 214-1</t>
  </si>
  <si>
    <t>肖付</t>
  </si>
  <si>
    <t>564246333@qq.com</t>
  </si>
  <si>
    <t>河北钧溢祥医疗科技有限公司
纳税人识别号：91130293MACKWRQ19Q
地址：河北省唐山市高新技术产业园区火炬路410号联东U谷产业园10#-1 214-1
邮 编：063009      电话：131 8042 6580
开户行：招商银行股份有限公司唐山高新区支行
账号：315901218310701
联系人: 毛春媛 15175585716</t>
  </si>
  <si>
    <t>江西省南昌市青山湖区北山路259号塞维莱科技城B10栋1楼</t>
  </si>
  <si>
    <t>0791-88107699</t>
  </si>
  <si>
    <t>胡威</t>
  </si>
  <si>
    <t>348933088@qq.com</t>
  </si>
  <si>
    <t>公司名称：江西吉迈医疗科技有限公司
地址：南昌市青山湖区北山路259号塞维莱科技园B10栋
邮编：332000          电话：0791-88107699
开户行：邮储银行洪城大市场支行   帐号：936007010013318895</t>
  </si>
  <si>
    <t>湖南省长沙市岳麓区麓松路489号海凭国际大厦C2栋818室</t>
  </si>
  <si>
    <t>0731-86459660</t>
  </si>
  <si>
    <t>徐锋彬</t>
  </si>
  <si>
    <t>ykylpx@163.com</t>
  </si>
  <si>
    <t>公司名：湖南康锦元科技有限公司
地址：长沙高新开发区谷苑路229号海凭园2栋813房
邮编：410000 电话：0731-88805296
开户行：湖南银行股份有限公司长沙东塘支行 8121 0309 0000 07567</t>
  </si>
  <si>
    <t>海南省海口市龙华区南海大道100号美国工业村2-7单元二楼</t>
  </si>
  <si>
    <t>0898-68545586</t>
  </si>
  <si>
    <t>符业明</t>
  </si>
  <si>
    <t>332101335@qq.com</t>
  </si>
  <si>
    <t>单位：海南凯曼生物科技有限公司
银行：中国工商银行股份有限公司海口海秀支行
银行帐号：2201021009200141553
纳税号： 91460000MA5TBBRF74</t>
  </si>
  <si>
    <t>广东省惠州市云山西路2号（帝景国际商务中心C座1925室）</t>
  </si>
  <si>
    <t>0755-23774060</t>
  </si>
  <si>
    <t>詹君</t>
  </si>
  <si>
    <t>823226784@qq.com</t>
  </si>
  <si>
    <t>公司名：深圳市迈加生物医疗有限公司  
地址：深圳市前海深港合作区前湾一路1号A栋201室（入驻深圳市前海商务秘书有限公司）
邮编：518000
电话：0755-23764330
开户行：中国农业银行深圳八卦岭支行
账号：41004800040024027</t>
  </si>
  <si>
    <t>增值税专用发票/增值税普通发票：服务费、技术咨询费</t>
  </si>
  <si>
    <t>山东省济南市历下区华夏福地3号楼1单元201室</t>
  </si>
  <si>
    <t>0531-82916508</t>
  </si>
  <si>
    <t>王辉</t>
  </si>
  <si>
    <t>wh163631@163.com</t>
  </si>
  <si>
    <t>公司名：山东智信医疗设备有限公司
地 址：山东省济南市商河县玉皇庙镇白玉路与玉皇路交叉口公交始末站3楼311室
邮 编：251600    电  话：0531-82916508
开户行：招商银行股份有限公司济南解放路支行
账  号：531905488710401</t>
  </si>
  <si>
    <t>增值税专用发票：培训费</t>
  </si>
  <si>
    <t>内蒙古呼和浩特市新城区腾飞北路15号606室</t>
  </si>
  <si>
    <t>杨晨光</t>
  </si>
  <si>
    <t>767160131@qq.com</t>
  </si>
  <si>
    <t>公司名称：内蒙古众智医工技术服务有限公司
纳税人识别号：91150105MA7FNGEF4T
银行账号：4719 0219 6110 801
开户行：招商银行股份有限公司呼和浩特分行营业部
行号：3081 9103 6114
地址：内蒙古自治区呼和浩特市赛罕区绿地领海大厦B座1109  电话：18347407450          邮编010000</t>
  </si>
  <si>
    <t>云南省昆明市盘龙区北京路延长线住佳商宇4幢8层2号</t>
  </si>
  <si>
    <t>0871-65382116</t>
  </si>
  <si>
    <t>熊济</t>
  </si>
  <si>
    <t>363377906@qq.com</t>
  </si>
  <si>
    <t>公司名：云南靖都医疗器械有限公司
地 址：云南省昆明市盘龙区北京路延长线住佳商宇4幢8层2号
邮 编：650000   电  话：0871-65382116
开户行：中国建设银行股份有限公司昆明凤凰城支行
账  号：53050190504000000013</t>
  </si>
  <si>
    <t>成都市青羊区光华北五路266号新兴产业示范大厦3栋11楼</t>
  </si>
  <si>
    <t>028-86150103</t>
  </si>
  <si>
    <t>唐萍</t>
  </si>
  <si>
    <t>cdhrmj@126.com</t>
  </si>
  <si>
    <t>名称：成都泓然明吉商贸有限公司          纳税人识别号：91510105350558848T  地址、电话：成都市青羊区蜀金路1号3栋19层1905号  86150103                        开户行及帐号：招商银行成都分行金沙支行  128906494810101</t>
  </si>
  <si>
    <t>江苏省南京市秦淮区永丰大道36号01栋10楼</t>
  </si>
  <si>
    <t>025-68538253</t>
  </si>
  <si>
    <t>刘会奇</t>
  </si>
  <si>
    <t>simba.liu@vedeng.com</t>
  </si>
  <si>
    <t xml:space="preserve">公司名：南京贝登医疗股份有限公司
地址：南京市秦淮区永顺路2号2幢三楼301室
邮编：210014    电 话：025-68538253
开户行： 中国建设银行江苏南京中山南路支行
账号： 32001881236052503686 </t>
  </si>
  <si>
    <t>增值税普通发票：维修费或维护费</t>
  </si>
  <si>
    <t>河南省郑州市管城回族区经开第七大街与经北四路交叉口188号院北楼4楼407室</t>
  </si>
  <si>
    <t>0371-66337061</t>
  </si>
  <si>
    <t>郭啸</t>
  </si>
  <si>
    <t>18614962807@163.com</t>
  </si>
  <si>
    <t>单位名称：郑州青旭医疗科技有限公司
税号：91410104MA9G002781
地址：河南省郑州市管城回族区城东南路55号2号楼2层209号
电话：13213261005
银行名称：招商银行股份有限公司郑州二里岗支行
账号：371908013610902</t>
  </si>
  <si>
    <t>增值税专用发票/增值税普通发票</t>
  </si>
  <si>
    <t>辽宁省沈阳市浑南区浑南二路6-28号1801</t>
  </si>
  <si>
    <t>024-31607646</t>
  </si>
  <si>
    <t>李丹</t>
  </si>
  <si>
    <t>524063673@qq.com</t>
  </si>
  <si>
    <t>公司名称：沈阳柏诺医疗电子科技有限公司
纳税人识别号：91210112MA7JNT3C93
地址：辽宁省沈阳市浑南区浑南二路6-28号（1-18-1、1-18-11）
电话：13904050810
开户行：招商银行股份有限公司沈阳新世界支行
账号：124910013710301</t>
  </si>
  <si>
    <t>安徽省合肥市蜀山区科学大道与合欢路交口合创产业园7D</t>
  </si>
  <si>
    <t>0551-64466966</t>
  </si>
  <si>
    <t>李龙</t>
  </si>
  <si>
    <t>812640480@qq.com</t>
  </si>
  <si>
    <t>安徽蓝创生物科技有限公司
税 号：91340111MA2TU3PJ33
地 址：安徽省合肥市高新区合欢路10号7号楼
电 话：0551-64466966
开户行：徽商银行股份有限公司合肥经济开发区支行
帐 号：223021347901000002</t>
  </si>
  <si>
    <t>江西省南昌市南昌县莲塘北大道899号鹿鼎爱丁堡30栋106室</t>
  </si>
  <si>
    <t>夏子路</t>
  </si>
  <si>
    <t>915318704@qq.com</t>
  </si>
  <si>
    <t>公司名：江西恒嘉信生物科技有限公司
地 址：江西省上饶经济技术开发戊兴业大道26号(盛奇光学产业园3栋7楼)
邮 编：334000   电  话：15870971288
开户行：中国工商银行股份有限公司广信旭日支行
账  号：1512004509000078626</t>
  </si>
  <si>
    <t>西安佑鑫电子园F座1单元F502</t>
  </si>
  <si>
    <t>029-88603550</t>
  </si>
  <si>
    <t>魏萌</t>
  </si>
  <si>
    <t>353102431@qq.com</t>
  </si>
  <si>
    <t>公司名称：陕西沃尔克贸易有限公司
税    号：9161  0000  762  591  9192
地    址：西安市雁塔区太白南路181号西部电子信息产业城A座工业写字楼306室
电    话：029-88855221
开 户 行：招商银行朱雀大街支行
账    号：29818  00529 10001</t>
  </si>
  <si>
    <t>增值税专用发票/增值税普通发票：客户培训费</t>
  </si>
  <si>
    <t>沈阳市浑南区全运五路安拓国际产业园A34-3门</t>
  </si>
  <si>
    <t>纪晓颖</t>
  </si>
  <si>
    <t>527157127@qq.com</t>
  </si>
  <si>
    <t>公司名：沈阳永迪商贸有限公司
地 址：辽宁省沈阳市辽中区老大房镇老观村
   电  话：13909817686
开户行：华夏银行股份有限公司沈阳于洪支行
账  号：11062000000180957</t>
  </si>
  <si>
    <t>广州市海珠区石溪新业路18号东篱创新谷红谷3楼308室</t>
  </si>
  <si>
    <t>020-87369300</t>
  </si>
  <si>
    <t>梁妙红</t>
  </si>
  <si>
    <t>2643230478@qq.com</t>
  </si>
  <si>
    <t>名称：广州兆邦医疗科技有限公司
纳税人识别号：914401045679391154
地址、电话：广州市海珠区石溪新业路18号自编304铺、18号之一自编305-306铺  020-87369300
开户行：中国建设银行股份有限公司广州五羊新城支行
账号：44050140090500000528</t>
  </si>
  <si>
    <t>南昌市西湖区沿江南大道1979号海珀悦庭3-1#311室</t>
  </si>
  <si>
    <t>徐旭伟</t>
  </si>
  <si>
    <t>984865935@qq.com</t>
  </si>
  <si>
    <t>公司名称：江西楠海医疗设备有限公司   
税号：91360103MA7JQA5T5N
公司地址：江西省南昌市西湖区沿江南大道1979号海珀悦庭3-1#311室
电话：18970056133
开户行：工行南昌朝阳新区支行
账号：1502002509000026449</t>
  </si>
  <si>
    <t>广州市番禺区东环街番禺大道北555号天安总部中心16号楼703室</t>
  </si>
  <si>
    <t>020-39995892</t>
  </si>
  <si>
    <t>卫永斯</t>
  </si>
  <si>
    <t>gzzl@innostic.com</t>
  </si>
  <si>
    <t>公司名：广州致菱医疗供应链管理有限公司
地 址：广州市番禺区东环街番禺大道北555号天安总部中心16号楼604室
邮 编：511400   电  话：020-39995892  
开户行：招商银行股份有限公司广州天安支行
账  号：120919258810106</t>
  </si>
  <si>
    <t>北京市朝阳区雅宝路10号15层1510室</t>
  </si>
  <si>
    <t>010-52486570</t>
  </si>
  <si>
    <t>白茹</t>
  </si>
  <si>
    <t>mdwe_bairu@163.com</t>
  </si>
  <si>
    <t>名称：北京迅捷康达医学技术有限公司
纳税人识别号（税号）：911101147990165395
地址、电话：北京市朝阳区雅宝路10号15层1510室  010-52486570
开户行及账号：招商银行北京万达广场支行 863080134810001</t>
  </si>
  <si>
    <t>值税普通发票：维修费或维护费</t>
  </si>
  <si>
    <t>陕西省西安市高新区南三环辅道G25号3幢3楼</t>
  </si>
  <si>
    <t>029-88851899</t>
  </si>
  <si>
    <t>马飞艳</t>
  </si>
  <si>
    <t>310551288@qq.com</t>
  </si>
  <si>
    <t>公司名：陕西瑞孚医疗科技有限公司
地 址：陕西省西安市高新区南三环辅道G25号3幢3楼
邮 编：710075   电  话：029-88851899
开户行：招商银行西安分行太白路支行
账  号：129911117610101</t>
  </si>
  <si>
    <t>哈尔滨市南岗区哈西大街928号巴黎第五区23-1商服</t>
  </si>
  <si>
    <t>王兴魁</t>
  </si>
  <si>
    <t>30134659@qq.com</t>
  </si>
  <si>
    <t>名称：哈尔滨众泰医疗科技发展有限公司
纳税人识别号：91230109MAC1FQK507
地址电话：黑龙江省哈尔滨市松北区智谷二街3043号哈尔滨松北（深圳龙岗）科技创新产业园13栋2层2318房间
电话：0451-86610563
开户行：哈尔滨银行股份有限公司欧洲新城支行
账号：18010000001725788</t>
  </si>
  <si>
    <t>江西省南昌市红谷滩区绿茵路129号联发广场写字楼2103、2104</t>
  </si>
  <si>
    <t>钟伟健</t>
  </si>
  <si>
    <t>1604267401@qq.com</t>
  </si>
  <si>
    <t xml:space="preserve">名称：江西诚珏贸易有限公司                 单位地址：江西省南昌市红谷滩区绿茵路129号联发广场写字楼2103、2104
电话：13687911089                            开户银行：中国银行江西省分行
银行账户：2007 4356 7534 </t>
  </si>
  <si>
    <t>北京市大兴区金星路12号院2号楼1208室</t>
  </si>
  <si>
    <t>010-63038802</t>
  </si>
  <si>
    <t>潘静</t>
  </si>
  <si>
    <t>panjing@bj-xrhs.com</t>
  </si>
  <si>
    <t>北京旭日鸿升生物技术有限公司
地址：北京市大兴区金星路12号院2号楼11层1208室
电话：010-63038802
邮编：102600
开户行：中国农业银行北京骡马市支行(103100017015)
账号：11170101040008955</t>
  </si>
  <si>
    <t>增值税专用发票/增值税普通发票：维修费或服务费</t>
  </si>
  <si>
    <t>山东省青岛市李沧区京口路106号绿地香颂106-1室</t>
  </si>
  <si>
    <t>0532-55670908</t>
  </si>
  <si>
    <t>闫少强</t>
  </si>
  <si>
    <t>taidayansq@163.com</t>
  </si>
  <si>
    <t>公司名：青岛泰达医疗器械有限公司
地 址：青岛市李沧区京口路106号绿地香颂207室
邮 编：266000  电  话：0532-55670908
开户行：中国银行股份有限公司青岛巨峰路支行
账号：228614998472</t>
  </si>
  <si>
    <t>云南省昆明市五华区科普路与王筇路交叉口绿地 云都会广场A地块1栋B区创海大厦18层1811室1812室</t>
  </si>
  <si>
    <t>0871-65386168</t>
  </si>
  <si>
    <t>罗美娥</t>
  </si>
  <si>
    <t>13759187313@139.com</t>
  </si>
  <si>
    <t>公司名称:昆明康骐科技有限公司            税号:91530112MA6K7Q603B                开户行:中国建设银行昆明西山支行        账号:53050161633600000120               注册地址:云南省昆明市五华区科普路与王筇路交叉口绿地 云都会广场A地块1栋B区创海大厦18层1811室1812室                             电话:0871-65386168</t>
  </si>
  <si>
    <t>已授权课程方案</t>
  </si>
  <si>
    <t>课程讲师1（含工号）</t>
  </si>
  <si>
    <t>课程讲师2（含工号）</t>
  </si>
  <si>
    <t>课程讲师3（含工号）</t>
  </si>
  <si>
    <t>课程讲师4（含工号）</t>
  </si>
  <si>
    <t>课程讲师5（含工号）</t>
  </si>
  <si>
    <t>课程讲师6（含工号）</t>
  </si>
  <si>
    <t>麻醉_麻醉机服务资质面授课程</t>
  </si>
  <si>
    <t>刘晓臣</t>
  </si>
  <si>
    <t>朱吾东</t>
  </si>
  <si>
    <t>血球_血球M68&amp;68P系列服务资质面授课程</t>
  </si>
  <si>
    <t>姜纪亮</t>
  </si>
  <si>
    <t>蒋国佳</t>
  </si>
  <si>
    <t>余杭君</t>
  </si>
  <si>
    <t>血球_中端五分类服务资质面授课程</t>
  </si>
  <si>
    <t>许威</t>
  </si>
  <si>
    <t>临床应用_血球_培训资质获取方案面授课程</t>
  </si>
  <si>
    <t>黄雪林</t>
  </si>
  <si>
    <t>罗春霖</t>
  </si>
  <si>
    <t>吴周阳</t>
  </si>
  <si>
    <t>李金陵</t>
  </si>
  <si>
    <t>（面授）临床应用_化学发光_培训资质获取方案面授课程</t>
  </si>
  <si>
    <t>韩春运</t>
  </si>
  <si>
    <t>生化_800系列服务资质面授课程</t>
  </si>
  <si>
    <t>汪飞亚</t>
  </si>
  <si>
    <t>生化_化学发光-2000i服务资质面授课程</t>
  </si>
  <si>
    <t>陈柳姗</t>
  </si>
  <si>
    <t>临床应用_生化_培训资质获取方案面授课程</t>
  </si>
  <si>
    <t>陈慧兵</t>
  </si>
  <si>
    <t>颜裕洁</t>
  </si>
  <si>
    <t>超声_彩超1服务资质面授课程</t>
  </si>
  <si>
    <t>刘轩</t>
  </si>
  <si>
    <t>生化_2000速生化服务资质面授课程</t>
  </si>
  <si>
    <t>陈天路</t>
  </si>
  <si>
    <t>刘强</t>
  </si>
  <si>
    <t>生化_化学发光-6000i系列服务资质面授课程</t>
  </si>
  <si>
    <t>王兴作</t>
  </si>
  <si>
    <t>肖睿</t>
  </si>
  <si>
    <t>刘林</t>
  </si>
  <si>
    <t>段利军</t>
  </si>
  <si>
    <t>闵子强</t>
  </si>
  <si>
    <t>岳照海</t>
  </si>
  <si>
    <t>龙刚</t>
  </si>
  <si>
    <t>血球_血球M60系列服务资质面授课程</t>
  </si>
  <si>
    <t>张峻菠</t>
  </si>
  <si>
    <t>汪洋</t>
  </si>
  <si>
    <t>周成龙</t>
  </si>
  <si>
    <t>谭辉</t>
  </si>
  <si>
    <t>张帅鹏</t>
  </si>
  <si>
    <t>张心</t>
  </si>
  <si>
    <t>秦江胜</t>
  </si>
  <si>
    <t>占伟</t>
  </si>
  <si>
    <t>顾蒙</t>
  </si>
  <si>
    <t>待考</t>
  </si>
  <si>
    <t>（面授）凝血_场景化磁珠法仪器服务资质获取方案</t>
  </si>
  <si>
    <t>徐辉</t>
  </si>
  <si>
    <t>三分类血球</t>
  </si>
  <si>
    <t>靳鹏云</t>
  </si>
  <si>
    <t>蔡壮</t>
  </si>
  <si>
    <t>张海军</t>
  </si>
  <si>
    <t>BC-5000</t>
  </si>
  <si>
    <t>低端超声</t>
  </si>
  <si>
    <t>吴良园</t>
  </si>
  <si>
    <t>监护小产品</t>
  </si>
  <si>
    <t>低速生化</t>
  </si>
  <si>
    <t>王磊</t>
  </si>
  <si>
    <t>李艳君</t>
  </si>
  <si>
    <t>金雪纯</t>
  </si>
  <si>
    <t>血球_BC-75CRP/CS系列服务资质面授课程</t>
  </si>
  <si>
    <t>周显明</t>
  </si>
  <si>
    <t>徐士文</t>
  </si>
  <si>
    <t>生化_中端生化服务资质面授课程</t>
  </si>
  <si>
    <t>杨吉荣</t>
  </si>
  <si>
    <t>生化_化学发光-1000i服务资质面授课程</t>
  </si>
  <si>
    <t>张玉磊</t>
  </si>
  <si>
    <t>麻醉_呼吸机（新生儿）服务资质面授课程</t>
  </si>
  <si>
    <t>麻醉_无创呼吸机服务资质面授课程</t>
  </si>
  <si>
    <t>宁瑶</t>
  </si>
  <si>
    <t>张阔</t>
  </si>
  <si>
    <t>赵强</t>
  </si>
  <si>
    <t>麻醉_呼吸机（常规）服务资质面授课程</t>
  </si>
  <si>
    <t>宋凯</t>
  </si>
  <si>
    <t>夏子涛</t>
  </si>
  <si>
    <t>朱传瑞</t>
  </si>
  <si>
    <t>叶田雷</t>
  </si>
  <si>
    <t>张振东</t>
  </si>
  <si>
    <t>殷实</t>
  </si>
  <si>
    <t>何武峰</t>
  </si>
  <si>
    <t>袁可</t>
  </si>
  <si>
    <t>尿液分析_尿沉渣服务资质面授课程</t>
  </si>
  <si>
    <t>陶普军</t>
  </si>
  <si>
    <t>临床应用_尿液_培训资质面授课程</t>
  </si>
  <si>
    <t>刘东东</t>
  </si>
  <si>
    <t>周晨</t>
  </si>
  <si>
    <t>刘志祥</t>
  </si>
  <si>
    <t>李密</t>
  </si>
  <si>
    <t>欧银霞</t>
  </si>
  <si>
    <t>谢霞瑞</t>
  </si>
  <si>
    <t>张刚</t>
  </si>
  <si>
    <t>李敏</t>
  </si>
  <si>
    <t>武涛涛</t>
  </si>
  <si>
    <t>马凯慧</t>
  </si>
  <si>
    <t>成文龙</t>
  </si>
  <si>
    <t>临床应用_凝血_培训资质面授课程</t>
  </si>
  <si>
    <t>（面授）凝血系列_中端凝血服务资质获取方案</t>
  </si>
  <si>
    <t>赵宏博</t>
  </si>
  <si>
    <t>孙雪伦</t>
  </si>
  <si>
    <t>宋帅军</t>
  </si>
  <si>
    <t>汪晓峰</t>
  </si>
  <si>
    <t>陈宇</t>
  </si>
  <si>
    <t>杨新</t>
  </si>
  <si>
    <t>张越博</t>
  </si>
  <si>
    <t>陈耀铜</t>
  </si>
  <si>
    <t>卢勇</t>
  </si>
  <si>
    <t>童金指</t>
  </si>
  <si>
    <t>黄钰鹏</t>
  </si>
  <si>
    <t>张晴</t>
  </si>
  <si>
    <t>刘鑫</t>
  </si>
  <si>
    <t>王强强</t>
  </si>
  <si>
    <t>韩红飞</t>
  </si>
  <si>
    <t>刘文赫</t>
  </si>
  <si>
    <t>姚章桥</t>
  </si>
  <si>
    <t>陈宁</t>
  </si>
  <si>
    <t>陈鸿艳</t>
  </si>
  <si>
    <t>陈思慧</t>
  </si>
  <si>
    <t>习荣亮</t>
  </si>
  <si>
    <t>李达信</t>
  </si>
  <si>
    <t>刘泰极</t>
  </si>
  <si>
    <t>谭超健</t>
  </si>
  <si>
    <t>广西捷尔迅医疗科技有限公司</t>
  </si>
  <si>
    <t>韦丽春</t>
  </si>
  <si>
    <t>韦日丽</t>
  </si>
  <si>
    <t>农世清</t>
  </si>
  <si>
    <t>黎展宏</t>
  </si>
  <si>
    <t>黄政学</t>
  </si>
  <si>
    <t>周维莹</t>
  </si>
  <si>
    <t>覃金先</t>
  </si>
  <si>
    <t>方永德</t>
  </si>
  <si>
    <t>蔡新华</t>
  </si>
  <si>
    <t>孙虎军</t>
  </si>
  <si>
    <t>杨永利</t>
  </si>
  <si>
    <t>赵秋富</t>
  </si>
  <si>
    <t>魏佳宏</t>
  </si>
  <si>
    <t>陈静</t>
  </si>
  <si>
    <t>熊毅</t>
  </si>
  <si>
    <t>赖朝兵</t>
  </si>
  <si>
    <t>陈国友</t>
  </si>
  <si>
    <t>刘宝猛</t>
  </si>
  <si>
    <t>李冬亮</t>
  </si>
  <si>
    <t>徐功圳</t>
  </si>
  <si>
    <t>张亮</t>
  </si>
  <si>
    <t>徐利朋</t>
  </si>
  <si>
    <t>张宝兰</t>
  </si>
  <si>
    <t>李博</t>
  </si>
  <si>
    <t>王一行</t>
  </si>
  <si>
    <t>杨颖</t>
  </si>
  <si>
    <t>余洋</t>
  </si>
  <si>
    <t>汪洪涛</t>
  </si>
  <si>
    <t>陈国营</t>
  </si>
  <si>
    <t>孙伟阳</t>
  </si>
  <si>
    <t>石磊</t>
  </si>
  <si>
    <t>吴晶晶</t>
  </si>
  <si>
    <t>培训中心培训对接人</t>
  </si>
  <si>
    <t>公司属于一般纳税人，且不属于小型微利企业，无增值税及企业所得税优惠政策</t>
  </si>
  <si>
    <t>公司属于小规模纳税人，目前1%税收优惠政策截至到2020年12月31日，故今年开的所有发票税率均为1%</t>
  </si>
  <si>
    <t>2个教室</t>
  </si>
  <si>
    <t>增值税一般纳税人</t>
  </si>
  <si>
    <t>一般纳税人</t>
  </si>
  <si>
    <t>公司是一般纳税人：维修费是13点                                                
技术咨询服务是6点</t>
  </si>
  <si>
    <t>公司属于一般纳税人，可以开具增值税专用发票，税率为13%。</t>
  </si>
  <si>
    <t>开票内容：技术服务费</t>
  </si>
  <si>
    <r>
      <t>河北省唐山市高新技术产业园区火炬路</t>
    </r>
    <r>
      <rPr>
        <sz val="10.5"/>
        <color rgb="FF000000"/>
        <rFont val="Calibri"/>
        <family val="2"/>
      </rPr>
      <t>410</t>
    </r>
    <r>
      <rPr>
        <sz val="10.5"/>
        <color rgb="FF000000"/>
        <rFont val="宋体"/>
        <family val="3"/>
        <charset val="134"/>
      </rPr>
      <t>号联东</t>
    </r>
    <r>
      <rPr>
        <sz val="10.5"/>
        <color rgb="FF000000"/>
        <rFont val="Calibri"/>
        <family val="2"/>
      </rPr>
      <t>U</t>
    </r>
    <r>
      <rPr>
        <sz val="10.5"/>
        <color rgb="FF000000"/>
        <rFont val="宋体"/>
        <family val="3"/>
        <charset val="134"/>
      </rPr>
      <t>谷产业园</t>
    </r>
    <r>
      <rPr>
        <sz val="10.5"/>
        <color rgb="FF000000"/>
        <rFont val="Calibri"/>
        <family val="2"/>
      </rPr>
      <t>10#-1 214-1</t>
    </r>
  </si>
  <si>
    <t>/</t>
  </si>
  <si>
    <t>公司属于小规模纳税人，目前1%税收优惠政策。按需要可开3%增值税专票或普票。</t>
  </si>
  <si>
    <t>公司属于一般纳税人</t>
  </si>
  <si>
    <t>公司属于小规模纳税人</t>
  </si>
  <si>
    <t>公司属于一般纳税人，因生物制品享受简易征收税率为3%；故生物制品开票3%，非生物制品开票13%</t>
  </si>
  <si>
    <t>公司属于一般纳税人，发票税率为13%</t>
  </si>
  <si>
    <t>申请授权的产品</t>
  </si>
  <si>
    <t>授权面授课程</t>
  </si>
  <si>
    <t>渠道服务等级</t>
  </si>
  <si>
    <t>签约类型</t>
  </si>
  <si>
    <t>渠道讲师</t>
  </si>
  <si>
    <t>样机</t>
  </si>
  <si>
    <t>签约顺序</t>
  </si>
  <si>
    <t>麻醉机</t>
  </si>
  <si>
    <t>销售用服同签</t>
  </si>
  <si>
    <r>
      <t>刘晓臣</t>
    </r>
    <r>
      <rPr>
        <sz val="10"/>
        <rFont val="微软雅黑"/>
        <family val="2"/>
        <charset val="134"/>
      </rPr>
      <t>、朱吾东</t>
    </r>
  </si>
  <si>
    <t>WATO EX-55/WATO A7</t>
  </si>
  <si>
    <t>第一批认证</t>
  </si>
  <si>
    <t>血球M68系列</t>
  </si>
  <si>
    <t>姜纪亮、蒋国佳、余杭君</t>
  </si>
  <si>
    <t>BC-6800</t>
  </si>
  <si>
    <t>中端五分类</t>
  </si>
  <si>
    <t>BC-5800、BC-5390CRP</t>
  </si>
  <si>
    <t>血球培训资质</t>
  </si>
  <si>
    <r>
      <t>黄雪林、</t>
    </r>
    <r>
      <rPr>
        <sz val="10"/>
        <color rgb="FFFF0000"/>
        <rFont val="微软雅黑"/>
        <family val="2"/>
        <charset val="134"/>
      </rPr>
      <t>罗春霖</t>
    </r>
    <r>
      <rPr>
        <sz val="10"/>
        <rFont val="微软雅黑"/>
        <family val="2"/>
        <charset val="134"/>
      </rPr>
      <t>、吴周阳、李金陵</t>
    </r>
  </si>
  <si>
    <t>发光培训资质</t>
  </si>
  <si>
    <t>CL-2000I</t>
  </si>
  <si>
    <t>V2.0</t>
  </si>
  <si>
    <t>第二批认证</t>
  </si>
  <si>
    <t>更名：新疆中品医疗科技有限公司</t>
  </si>
  <si>
    <t>800速生化</t>
  </si>
  <si>
    <t>BS-800</t>
  </si>
  <si>
    <t>CL-2000i</t>
  </si>
  <si>
    <t>生化培训资质</t>
  </si>
  <si>
    <t>彩超1</t>
  </si>
  <si>
    <t>刘轩、成年</t>
  </si>
  <si>
    <t>DC-80、DC-8、DC-60、M9</t>
  </si>
  <si>
    <t>2000速生化</t>
  </si>
  <si>
    <t>陈天路、刘强</t>
  </si>
  <si>
    <t>BS-2000</t>
  </si>
  <si>
    <t>CL-6000i</t>
  </si>
  <si>
    <t>王兴作、肖睿</t>
  </si>
  <si>
    <t>CL-6000I</t>
  </si>
  <si>
    <t>A7，WATO EX-65，WATO EX-65PRO</t>
  </si>
  <si>
    <r>
      <t>闵子强</t>
    </r>
    <r>
      <rPr>
        <sz val="10"/>
        <rFont val="微软雅黑"/>
        <family val="2"/>
        <charset val="134"/>
      </rPr>
      <t>、岳照海</t>
    </r>
  </si>
  <si>
    <t>CAL8000、BC6800、BC6900、BC6600</t>
  </si>
  <si>
    <t>BC5390CRP、BC5600</t>
  </si>
  <si>
    <t>血球M60系列</t>
  </si>
  <si>
    <t>张峻菠、龙刚</t>
  </si>
  <si>
    <t>BC6000</t>
  </si>
  <si>
    <t>汪洋、周成龙、谭辉</t>
  </si>
  <si>
    <t>BS-800/BS-2000</t>
  </si>
  <si>
    <t>张心、秦江胜</t>
  </si>
  <si>
    <t>BC-6700/BC-6800PLUS</t>
  </si>
  <si>
    <r>
      <t>魏萌</t>
    </r>
    <r>
      <rPr>
        <sz val="10"/>
        <rFont val="微软雅黑"/>
        <family val="2"/>
        <charset val="134"/>
      </rPr>
      <t>、顾蒙</t>
    </r>
  </si>
  <si>
    <t>CL-6000I、CL-1000I</t>
  </si>
  <si>
    <t>BC-5390CRP</t>
  </si>
  <si>
    <t>低端凝血</t>
  </si>
  <si>
    <t>V1.0</t>
  </si>
  <si>
    <t>C3510</t>
  </si>
  <si>
    <t>靳鹏云、蔡壮、张海军</t>
  </si>
  <si>
    <t>BC-1800\BC-2600\BC-20</t>
  </si>
  <si>
    <t>靳鹏云、蔡壮</t>
  </si>
  <si>
    <t>靳鹏云、吴良园</t>
  </si>
  <si>
    <t>DP-20\DP-30\DP-50\DC-N3S\DC-41\DC-26</t>
  </si>
  <si>
    <t>吴良园、张海军</t>
  </si>
  <si>
    <t>PM-60\VS-600\D1\S2\Umec7</t>
  </si>
  <si>
    <t>MR-96A\MW-12A\BA-88A\BS-280\BS-350S</t>
  </si>
  <si>
    <r>
      <t>李艳君</t>
    </r>
    <r>
      <rPr>
        <sz val="10"/>
        <rFont val="微软雅黑"/>
        <family val="2"/>
        <charset val="134"/>
      </rPr>
      <t>、金雪纯</t>
    </r>
  </si>
  <si>
    <t>血球75系列</t>
  </si>
  <si>
    <t>BC-75CS</t>
  </si>
  <si>
    <t>新增</t>
  </si>
  <si>
    <t>BS-800M</t>
  </si>
  <si>
    <t>中端生化</t>
  </si>
  <si>
    <t>BS-620</t>
  </si>
  <si>
    <t>CL-1000I</t>
  </si>
  <si>
    <t>CL-1000i</t>
  </si>
  <si>
    <t>新生儿呼吸机</t>
  </si>
  <si>
    <t>NB350</t>
  </si>
  <si>
    <t>新增认证</t>
  </si>
  <si>
    <t>无创呼吸机</t>
  </si>
  <si>
    <t>SV70</t>
  </si>
  <si>
    <r>
      <t>刘刚</t>
    </r>
    <r>
      <rPr>
        <sz val="10"/>
        <rFont val="微软雅黑"/>
        <family val="2"/>
        <charset val="134"/>
      </rPr>
      <t>、宁瑶</t>
    </r>
  </si>
  <si>
    <t>BS-830</t>
  </si>
  <si>
    <t>BS-480</t>
  </si>
  <si>
    <t>BC-5390</t>
  </si>
  <si>
    <t>更名：沈阳雅努斯商贸有限公司</t>
  </si>
  <si>
    <t>呼吸机</t>
  </si>
  <si>
    <t>SV600</t>
  </si>
  <si>
    <t>BC5390CRP、58000</t>
  </si>
  <si>
    <r>
      <t>夏子路</t>
    </r>
    <r>
      <rPr>
        <sz val="10"/>
        <rFont val="微软雅黑"/>
        <family val="2"/>
        <charset val="134"/>
      </rPr>
      <t>、夏子涛</t>
    </r>
  </si>
  <si>
    <t>BS-490</t>
  </si>
  <si>
    <t>M9、DC-60、DC-80</t>
  </si>
  <si>
    <t>E5、C3、SV300、SV600</t>
  </si>
  <si>
    <t>更名：山东智信医疗设备有限公司</t>
  </si>
  <si>
    <t>DC-80、M9、DC-65</t>
  </si>
  <si>
    <t>BC-7500</t>
  </si>
  <si>
    <t>BC-6800、BC-7500</t>
  </si>
  <si>
    <r>
      <t>徐锋彬</t>
    </r>
    <r>
      <rPr>
        <sz val="10"/>
        <rFont val="微软雅黑"/>
        <family val="2"/>
        <charset val="134"/>
      </rPr>
      <t>、何武峰</t>
    </r>
  </si>
  <si>
    <r>
      <t>徐锋彬、</t>
    </r>
    <r>
      <rPr>
        <sz val="10"/>
        <color rgb="FFFF0000"/>
        <rFont val="微软雅黑"/>
        <family val="2"/>
        <charset val="134"/>
      </rPr>
      <t>何武峰</t>
    </r>
  </si>
  <si>
    <r>
      <t>何武峰</t>
    </r>
    <r>
      <rPr>
        <sz val="10"/>
        <rFont val="微软雅黑"/>
        <family val="2"/>
        <charset val="134"/>
      </rPr>
      <t>、徐锋彬</t>
    </r>
  </si>
  <si>
    <t>何武峰、徐锋彬</t>
  </si>
  <si>
    <t>尿沉渣</t>
  </si>
  <si>
    <t>EH2080,UA-5800,EH2030</t>
  </si>
  <si>
    <t>更名：湖北顺成百泰商贸有限公司</t>
  </si>
  <si>
    <t>尿液培训资质</t>
  </si>
  <si>
    <r>
      <t>加燕楠</t>
    </r>
    <r>
      <rPr>
        <sz val="10"/>
        <rFont val="微软雅黑"/>
        <family val="2"/>
        <charset val="134"/>
      </rPr>
      <t>、周晨</t>
    </r>
  </si>
  <si>
    <t>欧银霞、谢霞瑞</t>
  </si>
  <si>
    <r>
      <t>张刚</t>
    </r>
    <r>
      <rPr>
        <sz val="10"/>
        <rFont val="微软雅黑"/>
        <family val="2"/>
        <charset val="134"/>
      </rPr>
      <t>、李敏</t>
    </r>
  </si>
  <si>
    <t>BC-6800PLUS</t>
  </si>
  <si>
    <t>凝血培训资质</t>
  </si>
  <si>
    <t>C3510/C3100/C2000-4/LBY-XC20B</t>
  </si>
  <si>
    <t>中端凝血</t>
  </si>
  <si>
    <t>ExC810</t>
  </si>
  <si>
    <t>C2000-A、C3510</t>
  </si>
  <si>
    <t>2015年签约迈瑞</t>
  </si>
  <si>
    <t>BC-6000</t>
  </si>
  <si>
    <t>杨新、张越博</t>
  </si>
  <si>
    <t>BS-2000M</t>
  </si>
  <si>
    <t>DC-80S/DC-70//DC8S/M9</t>
  </si>
  <si>
    <r>
      <t>符业明</t>
    </r>
    <r>
      <rPr>
        <sz val="10"/>
        <rFont val="微软雅黑"/>
        <family val="2"/>
        <charset val="134"/>
      </rPr>
      <t>、卢勇</t>
    </r>
  </si>
  <si>
    <r>
      <t>黄钰鹏、</t>
    </r>
    <r>
      <rPr>
        <sz val="10"/>
        <color rgb="FFFF0000"/>
        <rFont val="微软雅黑"/>
        <family val="2"/>
        <charset val="134"/>
      </rPr>
      <t>符业明</t>
    </r>
  </si>
  <si>
    <r>
      <t>张晴</t>
    </r>
    <r>
      <rPr>
        <sz val="10"/>
        <rFont val="微软雅黑"/>
        <family val="2"/>
        <charset val="134"/>
      </rPr>
      <t>、刘鑫</t>
    </r>
  </si>
  <si>
    <r>
      <t>王强强</t>
    </r>
    <r>
      <rPr>
        <sz val="10"/>
        <rFont val="微软雅黑"/>
        <family val="2"/>
        <charset val="134"/>
      </rPr>
      <t>、韩红飞</t>
    </r>
  </si>
  <si>
    <t>BC-7500CS</t>
  </si>
  <si>
    <r>
      <t>姚章桥</t>
    </r>
    <r>
      <rPr>
        <sz val="10"/>
        <rFont val="微软雅黑"/>
        <family val="2"/>
        <charset val="134"/>
      </rPr>
      <t>、陈鸿艳</t>
    </r>
  </si>
  <si>
    <r>
      <t>陈思慧</t>
    </r>
    <r>
      <rPr>
        <sz val="10"/>
        <rFont val="微软雅黑"/>
        <family val="2"/>
        <charset val="134"/>
      </rPr>
      <t>、习荣亮</t>
    </r>
  </si>
  <si>
    <t>血球6系以上</t>
  </si>
  <si>
    <t>BC-5800、BC-5380</t>
  </si>
  <si>
    <t>BC-6000PLUS</t>
  </si>
  <si>
    <r>
      <t>韦丽春、</t>
    </r>
    <r>
      <rPr>
        <sz val="10"/>
        <rFont val="微软雅黑"/>
        <family val="2"/>
        <charset val="134"/>
      </rPr>
      <t>韦日丽</t>
    </r>
  </si>
  <si>
    <r>
      <rPr>
        <sz val="10"/>
        <color rgb="FFFF0000"/>
        <rFont val="微软雅黑"/>
        <family val="2"/>
        <charset val="134"/>
      </rPr>
      <t>郭尧</t>
    </r>
    <r>
      <rPr>
        <sz val="10"/>
        <color rgb="FF000000"/>
        <rFont val="微软雅黑"/>
        <family val="2"/>
        <charset val="134"/>
      </rPr>
      <t>、黎展宏</t>
    </r>
  </si>
  <si>
    <t>BC-5180CRP、BC-5180</t>
  </si>
  <si>
    <r>
      <t>覃金先、</t>
    </r>
    <r>
      <rPr>
        <sz val="10"/>
        <color rgb="FFFF0000"/>
        <rFont val="微软雅黑"/>
        <family val="2"/>
        <charset val="134"/>
      </rPr>
      <t>方永德</t>
    </r>
  </si>
  <si>
    <t>C3510、C2000-4、LBY-40B</t>
  </si>
  <si>
    <t>更名：南宁市盈晶康医疗设备有限公司</t>
  </si>
  <si>
    <t>ExC810、C3510、C2000-2、LBY-40B</t>
  </si>
  <si>
    <t>BC-5390CRP,BC-5800,BC-5390</t>
  </si>
  <si>
    <t>BS-400,BS-490，</t>
  </si>
  <si>
    <t>BC-6900</t>
  </si>
  <si>
    <r>
      <t>赵秋富</t>
    </r>
    <r>
      <rPr>
        <sz val="10"/>
        <rFont val="微软雅黑"/>
        <family val="2"/>
        <charset val="134"/>
      </rPr>
      <t>、魏佳宏</t>
    </r>
  </si>
  <si>
    <r>
      <t>熊毅</t>
    </r>
    <r>
      <rPr>
        <sz val="10"/>
        <rFont val="微软雅黑"/>
        <family val="2"/>
        <charset val="134"/>
      </rPr>
      <t>、赖朝兵</t>
    </r>
  </si>
  <si>
    <t>CL-1000i\CL-2000i</t>
  </si>
  <si>
    <t>SV300/600 e5</t>
  </si>
  <si>
    <r>
      <t>李冬亮；</t>
    </r>
    <r>
      <rPr>
        <sz val="10"/>
        <color rgb="FFFF0000"/>
        <rFont val="微软雅黑"/>
        <family val="2"/>
        <charset val="134"/>
      </rPr>
      <t>刘宝猛</t>
    </r>
  </si>
  <si>
    <t>WTAO EX-55Pro、A7</t>
  </si>
  <si>
    <t>EU-8000</t>
  </si>
  <si>
    <t>5800，BC-5390CRP</t>
  </si>
  <si>
    <t>BC-7300CRP</t>
  </si>
  <si>
    <t>BC-5800;BC-5390CRP；BC-6800；BC-7300CRP</t>
  </si>
  <si>
    <t>BS-880</t>
  </si>
  <si>
    <t>BS-600</t>
  </si>
  <si>
    <t>汪洪涛、陈国营</t>
  </si>
  <si>
    <t>BC-5180CRP/BC-5800</t>
  </si>
  <si>
    <t>石磊、吴晶晶</t>
  </si>
  <si>
    <t>课程方案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</si>
</sst>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1"/>
      <name val="等线"/>
      <family val="3"/>
      <charset val="134"/>
    </font>
    <font>
      <u/>
      <sz val="11"/>
      <name val="等线"/>
      <family val="3"/>
      <charset val="134"/>
    </font>
    <font>
      <sz val="1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0.5"/>
      <color rgb="FF000000"/>
      <name val="Calibri"/>
      <family val="2"/>
    </font>
    <font>
      <sz val="10.5"/>
      <name val="微软雅黑"/>
      <family val="2"/>
      <charset val="134"/>
    </font>
    <font>
      <sz val="12"/>
      <name val="宋体"/>
      <family val="3"/>
      <charset val="134"/>
    </font>
    <font>
      <u/>
      <sz val="11"/>
      <color rgb="FF800080"/>
      <name val="等线"/>
      <family val="3"/>
      <charset val="134"/>
    </font>
    <font>
      <b/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FF0000"/>
      <name val="等线"/>
      <family val="3"/>
      <charset val="134"/>
    </font>
    <font>
      <b/>
      <sz val="14"/>
      <color rgb="FFFFFFFF"/>
      <name val="微软雅黑"/>
      <family val="2"/>
      <charset val="134"/>
    </font>
    <font>
      <sz val="14"/>
      <color theme="1"/>
      <name val="等线"/>
      <family val="2"/>
      <scheme val="minor"/>
    </font>
    <font>
      <sz val="11"/>
      <color rgb="FF000000"/>
      <name val="-Apple-System"/>
    </font>
    <font>
      <sz val="11"/>
      <color rgb="FF242424"/>
      <name val="DengXian"/>
      <charset val="1"/>
    </font>
    <font>
      <sz val="10"/>
      <color rgb="FFFF0000"/>
      <name val="微软雅黑"/>
      <family val="2"/>
      <charset val="134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4" fillId="0" borderId="3" xfId="0" applyFont="1" applyBorder="1"/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2" fillId="0" borderId="4" xfId="1" applyFill="1" applyBorder="1" applyAlignment="1"/>
    <xf numFmtId="9" fontId="4" fillId="0" borderId="4" xfId="0" applyNumberFormat="1" applyFont="1" applyBorder="1"/>
    <xf numFmtId="0" fontId="5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4" xfId="1" applyFill="1" applyBorder="1" applyAlignment="1">
      <alignment wrapText="1"/>
    </xf>
    <xf numFmtId="9" fontId="4" fillId="0" borderId="4" xfId="0" applyNumberFormat="1" applyFont="1" applyBorder="1" applyAlignment="1">
      <alignment wrapText="1"/>
    </xf>
    <xf numFmtId="0" fontId="6" fillId="0" borderId="4" xfId="0" applyFont="1" applyBorder="1"/>
    <xf numFmtId="0" fontId="4" fillId="0" borderId="4" xfId="0" quotePrefix="1" applyFont="1" applyBorder="1" applyAlignment="1">
      <alignment wrapText="1"/>
    </xf>
    <xf numFmtId="0" fontId="5" fillId="0" borderId="4" xfId="0" quotePrefix="1" applyFont="1" applyBorder="1" applyAlignment="1">
      <alignment wrapText="1"/>
    </xf>
    <xf numFmtId="0" fontId="7" fillId="0" borderId="0" xfId="0" applyFont="1"/>
    <xf numFmtId="0" fontId="8" fillId="0" borderId="1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4" xfId="0" applyFont="1" applyBorder="1"/>
    <xf numFmtId="0" fontId="9" fillId="0" borderId="4" xfId="0" applyFont="1" applyBorder="1" applyAlignment="1">
      <alignment wrapText="1"/>
    </xf>
    <xf numFmtId="0" fontId="8" fillId="0" borderId="3" xfId="0" applyFont="1" applyBorder="1"/>
    <xf numFmtId="9" fontId="8" fillId="0" borderId="4" xfId="0" applyNumberFormat="1" applyFont="1" applyBorder="1"/>
    <xf numFmtId="0" fontId="8" fillId="3" borderId="3" xfId="0" applyFont="1" applyFill="1" applyBorder="1"/>
    <xf numFmtId="0" fontId="11" fillId="0" borderId="3" xfId="0" applyFont="1" applyBorder="1"/>
    <xf numFmtId="0" fontId="12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7" fillId="0" borderId="4" xfId="0" applyFont="1" applyBorder="1"/>
    <xf numFmtId="0" fontId="4" fillId="3" borderId="3" xfId="0" applyFont="1" applyFill="1" applyBorder="1"/>
    <xf numFmtId="0" fontId="8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4" fillId="2" borderId="1" xfId="0" applyFont="1" applyFill="1" applyBorder="1"/>
    <xf numFmtId="0" fontId="14" fillId="2" borderId="2" xfId="0" applyFont="1" applyFill="1" applyBorder="1"/>
    <xf numFmtId="0" fontId="8" fillId="3" borderId="4" xfId="0" applyFont="1" applyFill="1" applyBorder="1"/>
    <xf numFmtId="0" fontId="4" fillId="3" borderId="4" xfId="0" applyFont="1" applyFill="1" applyBorder="1"/>
    <xf numFmtId="0" fontId="15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9" fillId="3" borderId="4" xfId="0" applyFont="1" applyFill="1" applyBorder="1"/>
    <xf numFmtId="0" fontId="9" fillId="0" borderId="4" xfId="0" applyFont="1" applyBorder="1"/>
    <xf numFmtId="0" fontId="4" fillId="3" borderId="4" xfId="0" applyFont="1" applyFill="1" applyBorder="1" applyAlignment="1">
      <alignment wrapText="1"/>
    </xf>
    <xf numFmtId="0" fontId="15" fillId="3" borderId="4" xfId="0" applyFont="1" applyFill="1" applyBorder="1"/>
    <xf numFmtId="0" fontId="2" fillId="3" borderId="3" xfId="1" applyFill="1" applyBorder="1" applyAlignment="1"/>
    <xf numFmtId="0" fontId="16" fillId="0" borderId="4" xfId="0" applyFont="1" applyBorder="1"/>
    <xf numFmtId="0" fontId="9" fillId="0" borderId="3" xfId="0" applyFont="1" applyBorder="1"/>
    <xf numFmtId="0" fontId="8" fillId="3" borderId="5" xfId="0" applyFont="1" applyFill="1" applyBorder="1"/>
    <xf numFmtId="0" fontId="8" fillId="3" borderId="6" xfId="0" applyFont="1" applyFill="1" applyBorder="1"/>
    <xf numFmtId="0" fontId="4" fillId="0" borderId="6" xfId="0" applyFont="1" applyBorder="1" applyAlignment="1">
      <alignment wrapText="1"/>
    </xf>
    <xf numFmtId="0" fontId="4" fillId="3" borderId="6" xfId="0" applyFont="1" applyFill="1" applyBorder="1"/>
    <xf numFmtId="0" fontId="15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2" fillId="3" borderId="5" xfId="1" applyFill="1" applyBorder="1" applyAlignment="1"/>
    <xf numFmtId="0" fontId="4" fillId="3" borderId="6" xfId="0" applyFont="1" applyFill="1" applyBorder="1" applyAlignment="1">
      <alignment wrapText="1"/>
    </xf>
    <xf numFmtId="0" fontId="8" fillId="4" borderId="3" xfId="0" applyFont="1" applyFill="1" applyBorder="1"/>
    <xf numFmtId="0" fontId="8" fillId="4" borderId="4" xfId="0" applyFont="1" applyFill="1" applyBorder="1"/>
    <xf numFmtId="0" fontId="8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8" fillId="3" borderId="7" xfId="0" applyFont="1" applyFill="1" applyBorder="1"/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0" fontId="11" fillId="0" borderId="4" xfId="0" applyFont="1" applyBorder="1"/>
    <xf numFmtId="0" fontId="17" fillId="6" borderId="2" xfId="0" applyFont="1" applyFill="1" applyBorder="1" applyAlignment="1">
      <alignment horizontal="center" wrapText="1"/>
    </xf>
    <xf numFmtId="0" fontId="17" fillId="6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0" borderId="8" xfId="0" applyFont="1" applyBorder="1" applyAlignment="1">
      <alignment wrapText="1"/>
    </xf>
    <xf numFmtId="0" fontId="4" fillId="0" borderId="8" xfId="0" applyFont="1" applyBorder="1"/>
    <xf numFmtId="0" fontId="19" fillId="0" borderId="0" xfId="0" applyFont="1" applyAlignment="1">
      <alignment wrapText="1"/>
    </xf>
    <xf numFmtId="0" fontId="20" fillId="0" borderId="0" xfId="0" applyFont="1"/>
    <xf numFmtId="0" fontId="21" fillId="3" borderId="4" xfId="0" applyFont="1" applyFill="1" applyBorder="1" applyAlignment="1">
      <alignment wrapText="1"/>
    </xf>
    <xf numFmtId="0" fontId="1" fillId="0" borderId="0" xfId="0" applyFont="1"/>
  </cellXfs>
  <cellStyles count="2">
    <cellStyle name="Hyperlink" xfId="1" xr:uid="{00000000-000B-0000-0000-000008000000}"/>
    <cellStyle name="常规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family val="2"/>
        <charset val="134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family val="2"/>
        <charset val="134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微软雅黑"/>
        <family val="2"/>
        <charset val="134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family val="2"/>
        <charset val="134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C9790-3BBC-4ED9-BF04-3B1B103D6331}" name="表1" displayName="表1" ref="B1:I151" totalsRowShown="0">
  <autoFilter ref="B1:I151" xr:uid="{939C9790-3BBC-4ED9-BF04-3B1B103D6331}"/>
  <tableColumns count="8">
    <tableColumn id="1" xr3:uid="{24D4E2CF-F89F-4142-A08F-4845A681F7DE}" name="培训中心全称" dataDxfId="5"/>
    <tableColumn id="2" xr3:uid="{C3075197-7A3A-4BFD-83C1-E73FA1A99FDE}" name="已授权课程方案" dataDxfId="4"/>
    <tableColumn id="3" xr3:uid="{DCF4747F-1FE3-4B96-9630-635F1780A85F}" name="课程讲师1（含工号）" dataDxfId="3"/>
    <tableColumn id="4" xr3:uid="{1A5282E6-09C2-4291-A8DE-B2B3DE558D12}" name="课程讲师2（含工号）" dataDxfId="2"/>
    <tableColumn id="5" xr3:uid="{42466784-B459-4501-845F-00E2381ED703}" name="课程讲师3（含工号）" dataDxfId="1"/>
    <tableColumn id="6" xr3:uid="{B2AB8C60-18B5-49EE-A8F7-183D0FFA12A6}" name="课程讲师4（含工号）" dataDxfId="0"/>
    <tableColumn id="7" xr3:uid="{B22A9CC4-76E2-4322-836B-95537FF119C9}" name="课程讲师5（含工号）"/>
    <tableColumn id="8" xr3:uid="{053C3882-E604-4CD6-B2CE-2106026BE1E6}" name="课程讲师6（含工号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469997060@qq.com" TargetMode="External"/><Relationship Id="rId18" Type="http://schemas.openxmlformats.org/officeDocument/2006/relationships/hyperlink" Target="mailto:499674663@QQ.com" TargetMode="External"/><Relationship Id="rId26" Type="http://schemas.openxmlformats.org/officeDocument/2006/relationships/hyperlink" Target="mailto:274691717@qq.com" TargetMode="External"/><Relationship Id="rId39" Type="http://schemas.openxmlformats.org/officeDocument/2006/relationships/hyperlink" Target="mailto:2643230478@qq.com" TargetMode="External"/><Relationship Id="rId21" Type="http://schemas.openxmlformats.org/officeDocument/2006/relationships/hyperlink" Target="mailto:122381661@qq.com" TargetMode="External"/><Relationship Id="rId34" Type="http://schemas.openxmlformats.org/officeDocument/2006/relationships/hyperlink" Target="mailto:18614962807@163.com" TargetMode="External"/><Relationship Id="rId42" Type="http://schemas.openxmlformats.org/officeDocument/2006/relationships/hyperlink" Target="mailto:mdwe_bairu@163.com" TargetMode="External"/><Relationship Id="rId47" Type="http://schemas.openxmlformats.org/officeDocument/2006/relationships/hyperlink" Target="mailto:taidayansq@163.com" TargetMode="External"/><Relationship Id="rId7" Type="http://schemas.openxmlformats.org/officeDocument/2006/relationships/hyperlink" Target="mailto:309751765@qq.com" TargetMode="External"/><Relationship Id="rId2" Type="http://schemas.openxmlformats.org/officeDocument/2006/relationships/hyperlink" Target="mailto:kry8526183@163.com" TargetMode="External"/><Relationship Id="rId16" Type="http://schemas.openxmlformats.org/officeDocument/2006/relationships/hyperlink" Target="mailto:1183439346@qq.com" TargetMode="External"/><Relationship Id="rId29" Type="http://schemas.openxmlformats.org/officeDocument/2006/relationships/hyperlink" Target="mailto:wh163631@163.com" TargetMode="External"/><Relationship Id="rId1" Type="http://schemas.openxmlformats.org/officeDocument/2006/relationships/hyperlink" Target="mailto:1433825820@qq.com" TargetMode="External"/><Relationship Id="rId6" Type="http://schemas.openxmlformats.org/officeDocument/2006/relationships/hyperlink" Target="mailto:3984112127@qq.com" TargetMode="External"/><Relationship Id="rId11" Type="http://schemas.openxmlformats.org/officeDocument/2006/relationships/hyperlink" Target="mailto:863637991@qq.com" TargetMode="External"/><Relationship Id="rId24" Type="http://schemas.openxmlformats.org/officeDocument/2006/relationships/hyperlink" Target="mailto:564246333@qq.com" TargetMode="External"/><Relationship Id="rId32" Type="http://schemas.openxmlformats.org/officeDocument/2006/relationships/hyperlink" Target="mailto:cdhrmj@126.com" TargetMode="External"/><Relationship Id="rId37" Type="http://schemas.openxmlformats.org/officeDocument/2006/relationships/hyperlink" Target="mailto:915318704@qq.com" TargetMode="External"/><Relationship Id="rId40" Type="http://schemas.openxmlformats.org/officeDocument/2006/relationships/hyperlink" Target="mailto:984865935@qq.com" TargetMode="External"/><Relationship Id="rId45" Type="http://schemas.openxmlformats.org/officeDocument/2006/relationships/hyperlink" Target="mailto:1604267401@qq.com" TargetMode="External"/><Relationship Id="rId5" Type="http://schemas.openxmlformats.org/officeDocument/2006/relationships/hyperlink" Target="mailto:1173256815@qq.com" TargetMode="External"/><Relationship Id="rId15" Type="http://schemas.openxmlformats.org/officeDocument/2006/relationships/hyperlink" Target="mailto:2479419728@qq.com" TargetMode="External"/><Relationship Id="rId23" Type="http://schemas.openxmlformats.org/officeDocument/2006/relationships/hyperlink" Target="mailto:24160300@qq.com" TargetMode="External"/><Relationship Id="rId28" Type="http://schemas.openxmlformats.org/officeDocument/2006/relationships/hyperlink" Target="mailto:823226784@qq.com" TargetMode="External"/><Relationship Id="rId36" Type="http://schemas.openxmlformats.org/officeDocument/2006/relationships/hyperlink" Target="mailto:812640480@qq.com" TargetMode="External"/><Relationship Id="rId10" Type="http://schemas.openxmlformats.org/officeDocument/2006/relationships/hyperlink" Target="mailto:pxzx@ojscg.com" TargetMode="External"/><Relationship Id="rId19" Type="http://schemas.openxmlformats.org/officeDocument/2006/relationships/hyperlink" Target="mailto:cchlkj@163.com" TargetMode="External"/><Relationship Id="rId31" Type="http://schemas.openxmlformats.org/officeDocument/2006/relationships/hyperlink" Target="mailto:363377906@qq.com" TargetMode="External"/><Relationship Id="rId44" Type="http://schemas.openxmlformats.org/officeDocument/2006/relationships/hyperlink" Target="mailto:30134659@qq.com" TargetMode="External"/><Relationship Id="rId4" Type="http://schemas.openxmlformats.org/officeDocument/2006/relationships/hyperlink" Target="mailto:3601907146@qq.com" TargetMode="External"/><Relationship Id="rId9" Type="http://schemas.openxmlformats.org/officeDocument/2006/relationships/hyperlink" Target="mailto:1182784991@qq.com" TargetMode="External"/><Relationship Id="rId14" Type="http://schemas.openxmlformats.org/officeDocument/2006/relationships/hyperlink" Target="mailto:936051093@qq.com" TargetMode="External"/><Relationship Id="rId22" Type="http://schemas.openxmlformats.org/officeDocument/2006/relationships/hyperlink" Target="mailto:hzxsjgs@163.com" TargetMode="External"/><Relationship Id="rId27" Type="http://schemas.openxmlformats.org/officeDocument/2006/relationships/hyperlink" Target="mailto:332101335@qq.com" TargetMode="External"/><Relationship Id="rId30" Type="http://schemas.openxmlformats.org/officeDocument/2006/relationships/hyperlink" Target="mailto:767160131@qq.com" TargetMode="External"/><Relationship Id="rId35" Type="http://schemas.openxmlformats.org/officeDocument/2006/relationships/hyperlink" Target="mailto:524063673@qq.com" TargetMode="External"/><Relationship Id="rId43" Type="http://schemas.openxmlformats.org/officeDocument/2006/relationships/hyperlink" Target="mailto:310551288@qq.com" TargetMode="External"/><Relationship Id="rId8" Type="http://schemas.openxmlformats.org/officeDocument/2006/relationships/hyperlink" Target="mailto:1359995947@qq.com" TargetMode="External"/><Relationship Id="rId3" Type="http://schemas.openxmlformats.org/officeDocument/2006/relationships/hyperlink" Target="mailto:bianlili@boshi-diagnostics.com" TargetMode="External"/><Relationship Id="rId12" Type="http://schemas.openxmlformats.org/officeDocument/2006/relationships/hyperlink" Target="mailto:18712179581@163.com" TargetMode="External"/><Relationship Id="rId17" Type="http://schemas.openxmlformats.org/officeDocument/2006/relationships/hyperlink" Target="mailto:113317031@QQ.COM" TargetMode="External"/><Relationship Id="rId25" Type="http://schemas.openxmlformats.org/officeDocument/2006/relationships/hyperlink" Target="mailto:348933088@qq.com" TargetMode="External"/><Relationship Id="rId33" Type="http://schemas.openxmlformats.org/officeDocument/2006/relationships/hyperlink" Target="mailto:simba.liu@vedeng.com" TargetMode="External"/><Relationship Id="rId38" Type="http://schemas.openxmlformats.org/officeDocument/2006/relationships/hyperlink" Target="mailto:353102431@qq.com" TargetMode="External"/><Relationship Id="rId46" Type="http://schemas.openxmlformats.org/officeDocument/2006/relationships/hyperlink" Target="mailto:panjing@bj-xrhs.com" TargetMode="External"/><Relationship Id="rId20" Type="http://schemas.openxmlformats.org/officeDocument/2006/relationships/hyperlink" Target="mailto:2531008545@qq.com" TargetMode="External"/><Relationship Id="rId41" Type="http://schemas.openxmlformats.org/officeDocument/2006/relationships/hyperlink" Target="mailto:gzzl@innostic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18712179581@163.com" TargetMode="External"/><Relationship Id="rId18" Type="http://schemas.openxmlformats.org/officeDocument/2006/relationships/hyperlink" Target="mailto:18712179581@163.com" TargetMode="External"/><Relationship Id="rId26" Type="http://schemas.openxmlformats.org/officeDocument/2006/relationships/hyperlink" Target="mailto:18712179581@163.com" TargetMode="External"/><Relationship Id="rId39" Type="http://schemas.openxmlformats.org/officeDocument/2006/relationships/hyperlink" Target="mailto:18712179581@163.com" TargetMode="External"/><Relationship Id="rId21" Type="http://schemas.openxmlformats.org/officeDocument/2006/relationships/hyperlink" Target="mailto:18712179581@163.com" TargetMode="External"/><Relationship Id="rId34" Type="http://schemas.openxmlformats.org/officeDocument/2006/relationships/hyperlink" Target="mailto:18712179581@163.com" TargetMode="External"/><Relationship Id="rId42" Type="http://schemas.openxmlformats.org/officeDocument/2006/relationships/hyperlink" Target="mailto:18712179581@163.com" TargetMode="External"/><Relationship Id="rId7" Type="http://schemas.openxmlformats.org/officeDocument/2006/relationships/hyperlink" Target="mailto:18712179581@163.com" TargetMode="External"/><Relationship Id="rId2" Type="http://schemas.openxmlformats.org/officeDocument/2006/relationships/hyperlink" Target="mailto:18712179581@163.com" TargetMode="External"/><Relationship Id="rId16" Type="http://schemas.openxmlformats.org/officeDocument/2006/relationships/hyperlink" Target="mailto:18712179581@163.com" TargetMode="External"/><Relationship Id="rId20" Type="http://schemas.openxmlformats.org/officeDocument/2006/relationships/hyperlink" Target="mailto:18712179581@163.com" TargetMode="External"/><Relationship Id="rId29" Type="http://schemas.openxmlformats.org/officeDocument/2006/relationships/hyperlink" Target="mailto:18712179581@163.com" TargetMode="External"/><Relationship Id="rId41" Type="http://schemas.openxmlformats.org/officeDocument/2006/relationships/hyperlink" Target="mailto:18712179581@163.com" TargetMode="External"/><Relationship Id="rId1" Type="http://schemas.openxmlformats.org/officeDocument/2006/relationships/hyperlink" Target="mailto:18712179581@163.com" TargetMode="External"/><Relationship Id="rId6" Type="http://schemas.openxmlformats.org/officeDocument/2006/relationships/hyperlink" Target="mailto:18712179581@163.com" TargetMode="External"/><Relationship Id="rId11" Type="http://schemas.openxmlformats.org/officeDocument/2006/relationships/hyperlink" Target="mailto:18712179581@163.com" TargetMode="External"/><Relationship Id="rId24" Type="http://schemas.openxmlformats.org/officeDocument/2006/relationships/hyperlink" Target="mailto:18712179581@163.com" TargetMode="External"/><Relationship Id="rId32" Type="http://schemas.openxmlformats.org/officeDocument/2006/relationships/hyperlink" Target="mailto:18712179581@163.com" TargetMode="External"/><Relationship Id="rId37" Type="http://schemas.openxmlformats.org/officeDocument/2006/relationships/hyperlink" Target="mailto:18712179581@163.com" TargetMode="External"/><Relationship Id="rId40" Type="http://schemas.openxmlformats.org/officeDocument/2006/relationships/hyperlink" Target="mailto:18712179581@163.com" TargetMode="External"/><Relationship Id="rId5" Type="http://schemas.openxmlformats.org/officeDocument/2006/relationships/hyperlink" Target="mailto:18712179581@163.com" TargetMode="External"/><Relationship Id="rId15" Type="http://schemas.openxmlformats.org/officeDocument/2006/relationships/hyperlink" Target="mailto:18712179581@163.com" TargetMode="External"/><Relationship Id="rId23" Type="http://schemas.openxmlformats.org/officeDocument/2006/relationships/hyperlink" Target="mailto:18712179581@163.com" TargetMode="External"/><Relationship Id="rId28" Type="http://schemas.openxmlformats.org/officeDocument/2006/relationships/hyperlink" Target="mailto:18712179581@163.com" TargetMode="External"/><Relationship Id="rId36" Type="http://schemas.openxmlformats.org/officeDocument/2006/relationships/hyperlink" Target="mailto:18712179581@163.com" TargetMode="External"/><Relationship Id="rId10" Type="http://schemas.openxmlformats.org/officeDocument/2006/relationships/hyperlink" Target="mailto:18712179581@163.com" TargetMode="External"/><Relationship Id="rId19" Type="http://schemas.openxmlformats.org/officeDocument/2006/relationships/hyperlink" Target="mailto:18712179581@163.com" TargetMode="External"/><Relationship Id="rId31" Type="http://schemas.openxmlformats.org/officeDocument/2006/relationships/hyperlink" Target="mailto:18712179581@163.com" TargetMode="External"/><Relationship Id="rId4" Type="http://schemas.openxmlformats.org/officeDocument/2006/relationships/hyperlink" Target="mailto:18712179581@163.com" TargetMode="External"/><Relationship Id="rId9" Type="http://schemas.openxmlformats.org/officeDocument/2006/relationships/hyperlink" Target="mailto:18712179581@163.com" TargetMode="External"/><Relationship Id="rId14" Type="http://schemas.openxmlformats.org/officeDocument/2006/relationships/hyperlink" Target="mailto:18712179581@163.com" TargetMode="External"/><Relationship Id="rId22" Type="http://schemas.openxmlformats.org/officeDocument/2006/relationships/hyperlink" Target="mailto:18712179581@163.com" TargetMode="External"/><Relationship Id="rId27" Type="http://schemas.openxmlformats.org/officeDocument/2006/relationships/hyperlink" Target="mailto:18712179581@163.com" TargetMode="External"/><Relationship Id="rId30" Type="http://schemas.openxmlformats.org/officeDocument/2006/relationships/hyperlink" Target="mailto:18712179581@163.com" TargetMode="External"/><Relationship Id="rId35" Type="http://schemas.openxmlformats.org/officeDocument/2006/relationships/hyperlink" Target="mailto:18712179581@163.com" TargetMode="External"/><Relationship Id="rId8" Type="http://schemas.openxmlformats.org/officeDocument/2006/relationships/hyperlink" Target="mailto:18712179581@163.com" TargetMode="External"/><Relationship Id="rId3" Type="http://schemas.openxmlformats.org/officeDocument/2006/relationships/hyperlink" Target="mailto:18712179581@163.com" TargetMode="External"/><Relationship Id="rId12" Type="http://schemas.openxmlformats.org/officeDocument/2006/relationships/hyperlink" Target="mailto:18712179581@163.com" TargetMode="External"/><Relationship Id="rId17" Type="http://schemas.openxmlformats.org/officeDocument/2006/relationships/hyperlink" Target="mailto:18712179581@163.com" TargetMode="External"/><Relationship Id="rId25" Type="http://schemas.openxmlformats.org/officeDocument/2006/relationships/hyperlink" Target="mailto:18712179581@163.com" TargetMode="External"/><Relationship Id="rId33" Type="http://schemas.openxmlformats.org/officeDocument/2006/relationships/hyperlink" Target="mailto:18712179581@163.com" TargetMode="External"/><Relationship Id="rId38" Type="http://schemas.openxmlformats.org/officeDocument/2006/relationships/hyperlink" Target="mailto:18712179581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Q53"/>
  <sheetViews>
    <sheetView workbookViewId="0">
      <selection activeCell="D49" sqref="D49"/>
    </sheetView>
  </sheetViews>
  <sheetFormatPr defaultRowHeight="14.25"/>
  <cols>
    <col min="1" max="1" width="34.25" customWidth="1"/>
    <col min="2" max="2" width="8.375" bestFit="1" customWidth="1"/>
    <col min="3" max="3" width="6.625" bestFit="1" customWidth="1"/>
    <col min="4" max="4" width="21.25" customWidth="1"/>
    <col min="5" max="5" width="23.25" customWidth="1"/>
    <col min="6" max="6" width="16" customWidth="1"/>
    <col min="7" max="7" width="20.375" bestFit="1" customWidth="1"/>
    <col min="8" max="8" width="24.25" customWidth="1"/>
    <col min="9" max="9" width="19.5" customWidth="1"/>
    <col min="10" max="11" width="23.125" customWidth="1"/>
    <col min="12" max="12" width="14" customWidth="1"/>
    <col min="13" max="13" width="18" customWidth="1"/>
    <col min="14" max="14" width="73.375" customWidth="1"/>
    <col min="15" max="15" width="28.125" customWidth="1"/>
    <col min="16" max="17" width="18" customWidth="1"/>
  </cols>
  <sheetData>
    <row r="1" spans="1:17" s="58" customFormat="1" ht="72.75" customHeight="1">
      <c r="A1" s="56" t="s">
        <v>0</v>
      </c>
      <c r="B1" s="57" t="s">
        <v>1</v>
      </c>
      <c r="C1" s="57" t="s">
        <v>2</v>
      </c>
      <c r="D1" s="61" t="s">
        <v>3</v>
      </c>
      <c r="E1" s="60" t="s">
        <v>4</v>
      </c>
      <c r="F1" s="61" t="s">
        <v>5</v>
      </c>
      <c r="G1" s="61" t="s">
        <v>6</v>
      </c>
      <c r="H1" s="61" t="s">
        <v>7</v>
      </c>
      <c r="I1" s="57" t="s">
        <v>8</v>
      </c>
      <c r="J1" s="57" t="s">
        <v>9</v>
      </c>
      <c r="K1" s="60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</row>
    <row r="2" spans="1:17">
      <c r="A2" s="68" t="s">
        <v>17</v>
      </c>
      <c r="B2" s="68" t="s">
        <v>18</v>
      </c>
      <c r="C2" s="68" t="s">
        <v>19</v>
      </c>
      <c r="G2" t="s">
        <v>20</v>
      </c>
      <c r="H2" t="s">
        <v>21</v>
      </c>
      <c r="I2" t="str">
        <f>IFERROR(_xlfn.XLOOKUP(A2,历史基础信息!$A$2:$A$52,历史基础信息!$D$2:$D$52,""),"")</f>
        <v>新疆乌鲁木齐高新区（新市区）鲤鱼山北
路199号驰达-电子信息产业加速器1栋608号</v>
      </c>
      <c r="J2" t="str">
        <f>_xlfn.XLOOKUP(A2,历史基础信息!A:A,历史基础信息!E:E,"")</f>
        <v>0991-3075000</v>
      </c>
      <c r="K2" t="str">
        <f>_xlfn.XLOOKUP(A2,历史基础信息!A:A,历史基础信息!F:F,"")</f>
        <v>师灿灿</v>
      </c>
      <c r="L2" t="str">
        <f>_xlfn.XLOOKUP(A2,历史基础信息!A:A,历史基础信息!G:G,"")</f>
        <v>1433825820@qq.com</v>
      </c>
      <c r="M2">
        <f>_xlfn.XLOOKUP(A2,历史基础信息!A:A,历史基础信息!H:H,"")</f>
        <v>13039457336</v>
      </c>
      <c r="N2" t="str">
        <f>_xlfn.XLOOKUP(A2,历史基础信息!A:A,历史基础信息!I:I,"")</f>
        <v>单位名称:新疆中品医疗科技有限公司
税号: 91650104MA78W1CL2H
注册地址:新疆乌鲁木齐高新区（新市区）鲤鱼山北路199号驰达-电子信息产业加速器1栋501-504号
开户银行:招商银行乌鲁木齐北京路支行
账号: 991905464910601
行号:308881029067</v>
      </c>
      <c r="O2" t="str">
        <f>_xlfn.XLOOKUP(A2,历史基础信息!A:A,历史基础信息!J:J,"")</f>
        <v>增值税专用发票/增值税普通发票：培训费</v>
      </c>
      <c r="P2">
        <f>_xlfn.XLOOKUP(A2,历史基础信息!A:A,历史基础信息!K:K,"")</f>
        <v>0.06</v>
      </c>
    </row>
    <row r="3" spans="1:17">
      <c r="A3" s="68" t="s">
        <v>22</v>
      </c>
      <c r="B3" s="68" t="s">
        <v>23</v>
      </c>
      <c r="C3" s="68" t="s">
        <v>19</v>
      </c>
      <c r="I3" t="str">
        <f>IFERROR(_xlfn.XLOOKUP(A3,历史基础信息!$A$2:$A$52,历史基础信息!$D$2:$D$52,""),"")</f>
        <v>甘肃省兰州市城关区南滨河东路5198号名城广场1幢2单元14楼19室</v>
      </c>
      <c r="J3" t="str">
        <f>_xlfn.XLOOKUP(A3,历史基础信息!A:A,历史基础信息!E:E,"")</f>
        <v>0931-8526183</v>
      </c>
      <c r="K3" t="str">
        <f>_xlfn.XLOOKUP(A3,历史基础信息!A:A,历史基础信息!F:F,"")</f>
        <v>王洁</v>
      </c>
      <c r="L3" t="str">
        <f>_xlfn.XLOOKUP(A3,历史基础信息!A:A,历史基础信息!G:G,"")</f>
        <v>kry8526183@163.com</v>
      </c>
      <c r="M3">
        <f>_xlfn.XLOOKUP(A3,历史基础信息!A:A,历史基础信息!H:H,"")</f>
        <v>17797604947</v>
      </c>
      <c r="N3" t="str">
        <f>_xlfn.XLOOKUP(A3,历史基础信息!A:A,历史基础信息!I:I,"")</f>
        <v>名称：兰州恺尔有商贸有限公司
税号：91627100MA7DC2JT0C
单位地址：甘肃省兰州市兰州新区绿地集团一期G地块渭河街3103号8A-19室
电话：09318526183
开户银行：中国建设银行兰州城关支行
银行账户：62050136000100001000</v>
      </c>
      <c r="O3" t="str">
        <f>_xlfn.XLOOKUP(A3,历史基础信息!A:A,历史基础信息!J:J,"")</f>
        <v>增值税专用发票/增值税普通发票：维修费或维护费</v>
      </c>
      <c r="P3">
        <f>_xlfn.XLOOKUP(A3,历史基础信息!A:A,历史基础信息!K:K,"")</f>
        <v>0.13</v>
      </c>
    </row>
    <row r="4" spans="1:17">
      <c r="A4" s="68" t="s">
        <v>24</v>
      </c>
      <c r="B4" s="68" t="s">
        <v>25</v>
      </c>
      <c r="C4" s="68" t="s">
        <v>26</v>
      </c>
      <c r="I4" t="str">
        <f>IFERROR(_xlfn.XLOOKUP(A4,历史基础信息!$A$2:$A$52,历史基础信息!$D$2:$D$52,""),"")</f>
        <v>四川省成都市武侯区武科西四路99号金地威新科创园3栋3楼301室</v>
      </c>
      <c r="J4" t="str">
        <f>_xlfn.XLOOKUP(A4,历史基础信息!A:A,历史基础信息!E:E,"")</f>
        <v>028-87799602</v>
      </c>
      <c r="K4" t="str">
        <f>_xlfn.XLOOKUP(A4,历史基础信息!A:A,历史基础信息!F:F,"")</f>
        <v>陈宏</v>
      </c>
      <c r="L4" t="str">
        <f>_xlfn.XLOOKUP(A4,历史基础信息!A:A,历史基础信息!G:G,"")</f>
        <v xml:space="preserve">103045739@qq.com </v>
      </c>
      <c r="M4">
        <f>_xlfn.XLOOKUP(A4,历史基础信息!A:A,历史基础信息!H:H,"")</f>
        <v>18782285187</v>
      </c>
      <c r="N4" t="str">
        <f>_xlfn.XLOOKUP(A4,历史基础信息!A:A,历史基础信息!I:I,"")</f>
        <v>公司名：南充市顺庆区吉哆商务信息咨询服务部(个体工商户)
开户行：中国工商银行股份有限公司南充石油南路支
行
账  号：2315539209100080846</v>
      </c>
      <c r="O4" t="str">
        <f>_xlfn.XLOOKUP(A4,历史基础信息!A:A,历史基础信息!J:J,"")</f>
        <v>增值税专用发票/增值税普通发票：维修费</v>
      </c>
      <c r="P4">
        <f>_xlfn.XLOOKUP(A4,历史基础信息!A:A,历史基础信息!K:K,"")</f>
        <v>0.01</v>
      </c>
    </row>
    <row r="5" spans="1:17">
      <c r="A5" s="68" t="s">
        <v>27</v>
      </c>
      <c r="B5" s="68" t="s">
        <v>28</v>
      </c>
      <c r="C5" s="68" t="s">
        <v>29</v>
      </c>
      <c r="I5" t="str">
        <f>IFERROR(_xlfn.XLOOKUP(A5,历史基础信息!$A$2:$A$52,历史基础信息!$D$2:$D$52,""),"")</f>
        <v>上海市奉贤区环城北路1099号</v>
      </c>
      <c r="J5" t="str">
        <f>_xlfn.XLOOKUP(A5,历史基础信息!A:A,历史基础信息!E:E,"")</f>
        <v>021-61213287</v>
      </c>
      <c r="K5" t="str">
        <f>_xlfn.XLOOKUP(A5,历史基础信息!A:A,历史基础信息!F:F,"")</f>
        <v>卞小姐</v>
      </c>
      <c r="L5" t="str">
        <f>_xlfn.XLOOKUP(A5,历史基础信息!A:A,历史基础信息!G:G,"")</f>
        <v>bianlili@boshi-diagnostics.com</v>
      </c>
      <c r="M5">
        <f>_xlfn.XLOOKUP(A5,历史基础信息!A:A,历史基础信息!H:H,"")</f>
        <v>13761291149</v>
      </c>
      <c r="N5" t="str">
        <f>_xlfn.XLOOKUP(A5,历史基础信息!A:A,历史基础信息!I:I,"")</f>
        <v>公司名：博实医疗保健（上海）有限公司
地 址：上海市金山区金山卫镇秋实路688号9幢（金山新材料孵化器)
电  话：021-67181810
开户行：工商银行徐汇裕德路支行
账  号：1001270209300105185</v>
      </c>
      <c r="O5" t="str">
        <f>_xlfn.XLOOKUP(A5,历史基础信息!A:A,历史基础信息!J:J,"")</f>
        <v>增值税专用发票/增值税普通发票：维修费或技术服务费</v>
      </c>
      <c r="P5" t="str">
        <f>_xlfn.XLOOKUP(A5,历史基础信息!A:A,历史基础信息!K:K,"")</f>
        <v>13%或6%</v>
      </c>
    </row>
    <row r="6" spans="1:17">
      <c r="A6" s="68" t="s">
        <v>30</v>
      </c>
      <c r="B6" s="68" t="s">
        <v>31</v>
      </c>
      <c r="C6" s="68" t="s">
        <v>32</v>
      </c>
      <c r="I6" t="str">
        <f>IFERROR(_xlfn.XLOOKUP(A6,历史基础信息!$A$2:$A$52,历史基础信息!$D$2:$D$52,""),"")</f>
        <v>广州市番禺区东环街天保路6号易事达大厦一楼105号</v>
      </c>
      <c r="J6" t="str">
        <f>_xlfn.XLOOKUP(A6,历史基础信息!A:A,历史基础信息!E:E,"")</f>
        <v>-</v>
      </c>
      <c r="K6" t="str">
        <f>_xlfn.XLOOKUP(A6,历史基础信息!A:A,历史基础信息!F:F,"")</f>
        <v>杨锦婵</v>
      </c>
      <c r="L6" t="str">
        <f>_xlfn.XLOOKUP(A6,历史基础信息!A:A,历史基础信息!G:G,"")</f>
        <v>3601907146@qq.com</v>
      </c>
      <c r="M6">
        <f>_xlfn.XLOOKUP(A6,历史基础信息!A:A,历史基础信息!H:H,"")</f>
        <v>15322031002</v>
      </c>
      <c r="N6" t="str">
        <f>_xlfn.XLOOKUP(A6,历史基础信息!A:A,历史基础信息!I:I,"")</f>
        <v>名称：广州艾维迪生物技术有限公司
纳税人识别号：91440101MA59TP8L3N
地址：广州市番禺区东环街天保路6号105铺之三
电话：020-31046729
开户行：中国银行广州番禺巨大产业园支行
帐号：645772162272</v>
      </c>
      <c r="O6" t="str">
        <f>_xlfn.XLOOKUP(A6,历史基础信息!A:A,历史基础信息!J:J,"")</f>
        <v>增值税专用发票:培训服务票</v>
      </c>
      <c r="P6">
        <f>_xlfn.XLOOKUP(A6,历史基础信息!A:A,历史基础信息!K:K,"")</f>
        <v>0.06</v>
      </c>
    </row>
    <row r="7" spans="1:17">
      <c r="A7" s="68" t="s">
        <v>33</v>
      </c>
      <c r="B7" s="68" t="s">
        <v>34</v>
      </c>
      <c r="C7" s="68" t="s">
        <v>29</v>
      </c>
      <c r="I7" t="str">
        <f>IFERROR(_xlfn.XLOOKUP(A7,历史基础信息!$A$2:$A$52,历史基础信息!$D$2:$D$52,""),"")</f>
        <v>武汉市东西湖区金山达到1312号金海工业园6楼培训室</v>
      </c>
      <c r="J7" t="str">
        <f>_xlfn.XLOOKUP(A7,历史基础信息!A:A,历史基础信息!E:E,"")</f>
        <v>027-83266623</v>
      </c>
      <c r="K7" t="str">
        <f>_xlfn.XLOOKUP(A7,历史基础信息!A:A,历史基础信息!F:F,"")</f>
        <v>加燕楠</v>
      </c>
      <c r="L7" t="str">
        <f>_xlfn.XLOOKUP(A7,历史基础信息!A:A,历史基础信息!G:G,"")</f>
        <v>1173256815@qq.com</v>
      </c>
      <c r="M7">
        <f>_xlfn.XLOOKUP(A7,历史基础信息!A:A,历史基础信息!H:H,"")</f>
        <v>19071020885</v>
      </c>
      <c r="N7" t="str">
        <f>_xlfn.XLOOKUP(A7,历史基础信息!A:A,历史基础信息!I:I,"")</f>
        <v>武汉鑫瑞丰华科贸有限公司
开户行：中国工商银行武汉海关支行
帐号:3202 1230 1910 0016 820</v>
      </c>
      <c r="O7" t="str">
        <f>_xlfn.XLOOKUP(A7,历史基础信息!A:A,历史基础信息!J:J,"")</f>
        <v>增值税专用发票/增值税普通发票：培训服务费</v>
      </c>
      <c r="P7">
        <f>_xlfn.XLOOKUP(A7,历史基础信息!A:A,历史基础信息!K:K,"")</f>
        <v>0.06</v>
      </c>
    </row>
    <row r="8" spans="1:17">
      <c r="A8" s="68" t="s">
        <v>35</v>
      </c>
      <c r="B8" s="68" t="s">
        <v>36</v>
      </c>
      <c r="C8" s="68" t="s">
        <v>26</v>
      </c>
      <c r="I8" t="str">
        <f>IFERROR(_xlfn.XLOOKUP(A8,历史基础信息!$A$2:$A$52,历史基础信息!$D$2:$D$52,""),"")</f>
        <v>广西壮族自治区南宁市良庆区中国（广西）自由贸易试验区南宁片区华威路 16 号南向电子信息产业园 3 号楼 4 楼A-01、A-02室</v>
      </c>
      <c r="J8" t="str">
        <f>_xlfn.XLOOKUP(A8,历史基础信息!A:A,历史基础信息!E:E,"")</f>
        <v>0771-4972859</v>
      </c>
      <c r="K8" t="str">
        <f>_xlfn.XLOOKUP(A8,历史基础信息!A:A,历史基础信息!F:F,"")</f>
        <v>万雨雯</v>
      </c>
      <c r="L8" t="str">
        <f>_xlfn.XLOOKUP(A8,历史基础信息!A:A,历史基础信息!G:G,"")</f>
        <v>3984112127@qq.com</v>
      </c>
      <c r="M8">
        <f>_xlfn.XLOOKUP(A8,历史基础信息!A:A,历史基础信息!H:H,"")</f>
        <v>18777184023</v>
      </c>
      <c r="N8" t="str">
        <f>_xlfn.XLOOKUP(A8,历史基础信息!A:A,历史基础信息!I:I,"")</f>
        <v>公司名：广西铂泓生物科技有限公司
地址：中国（广西）自由贸易试验区南宁片区凯旋路9号海尔青啤（东盟）联合广场2号楼五层503号办公室
电话：0771-4972859
开户行：中国光大银行股份有限公司南宁分行
账号：78890188000660007</v>
      </c>
      <c r="O8" t="str">
        <f>_xlfn.XLOOKUP(A8,历史基础信息!A:A,历史基础信息!J:J,"")</f>
        <v>增值税专用发票/增值税普通发票：培训费/维修费</v>
      </c>
      <c r="P8" t="str">
        <f>_xlfn.XLOOKUP(A8,历史基础信息!A:A,历史基础信息!K:K,"")</f>
        <v>6%/13%</v>
      </c>
    </row>
    <row r="9" spans="1:17">
      <c r="A9" s="68" t="s">
        <v>37</v>
      </c>
      <c r="B9" s="68" t="s">
        <v>25</v>
      </c>
      <c r="C9" s="68" t="s">
        <v>26</v>
      </c>
      <c r="I9" t="str">
        <f>IFERROR(_xlfn.XLOOKUP(A9,历史基础信息!$A$2:$A$52,历史基础信息!$D$2:$D$52,""),"")</f>
        <v>四川省成都市金牛区沙河源街道金丰路106号量力医药健康城7号楼12楼</v>
      </c>
      <c r="J9" t="str">
        <f>_xlfn.XLOOKUP(A9,历史基础信息!A:A,历史基础信息!E:E,"")</f>
        <v>028-87776785</v>
      </c>
      <c r="K9" t="str">
        <f>_xlfn.XLOOKUP(A9,历史基础信息!A:A,历史基础信息!F:F,"")</f>
        <v>敖春花</v>
      </c>
      <c r="L9" t="str">
        <f>_xlfn.XLOOKUP(A9,历史基础信息!A:A,历史基础信息!G:G,"")</f>
        <v>309751765@qq.com</v>
      </c>
      <c r="M9">
        <f>_xlfn.XLOOKUP(A9,历史基础信息!A:A,历史基础信息!H:H,"")</f>
        <v>13678119175</v>
      </c>
      <c r="N9" t="str">
        <f>_xlfn.XLOOKUP(A9,历史基础信息!A:A,历史基础信息!I:I,"")</f>
        <v>名称：四川世纪同昌医疗科技发展有限公司
地址：四川省成都市金牛区友联一街8号12楼1206-1208号
邮编：610000  
电话：028-87579357
开户银行：成都银行抚琴支行
账号：1001300000983113</v>
      </c>
      <c r="O9" t="str">
        <f>_xlfn.XLOOKUP(A9,历史基础信息!A:A,历史基础信息!J:J,"")</f>
        <v>增值税专用发票/增值税普通发票：服务费</v>
      </c>
      <c r="P9">
        <f>_xlfn.XLOOKUP(A9,历史基础信息!A:A,历史基础信息!K:K,"")</f>
        <v>0.13</v>
      </c>
    </row>
    <row r="10" spans="1:17">
      <c r="A10" s="68" t="s">
        <v>38</v>
      </c>
      <c r="B10" s="68" t="s">
        <v>39</v>
      </c>
      <c r="C10" s="68" t="s">
        <v>19</v>
      </c>
      <c r="I10" t="str">
        <f>IFERROR(_xlfn.XLOOKUP(A10,历史基础信息!$A$2:$A$52,历史基础信息!$D$2:$D$52,""),"")</f>
        <v>河南省郑州经济技术开发区第七大街188号院3号楼2楼</v>
      </c>
      <c r="J10" t="str">
        <f>_xlfn.XLOOKUP(A10,历史基础信息!A:A,历史基础信息!E:E,"")</f>
        <v>0371-63827260</v>
      </c>
      <c r="K10" t="str">
        <f>_xlfn.XLOOKUP(A10,历史基础信息!A:A,历史基础信息!F:F,"")</f>
        <v>黄晴</v>
      </c>
      <c r="L10" t="str">
        <f>_xlfn.XLOOKUP(A10,历史基础信息!A:A,历史基础信息!G:G,"")</f>
        <v>huangqing@hnmdr.com</v>
      </c>
      <c r="M10">
        <f>_xlfn.XLOOKUP(A10,历史基础信息!A:A,历史基础信息!H:H,"")</f>
        <v>15003856589</v>
      </c>
      <c r="N10" t="str">
        <f>_xlfn.XLOOKUP(A10,历史基础信息!A:A,历史基础信息!I:I,"")</f>
        <v>公司名：河南迈德瑞医疗服务供应链有限公司
地 址：郑州经济技术开发区第七大街188号院3号楼2楼
邮 编：450000   电  话：0371-63827260
开户行：招商银行股份有限公司郑州经开区支行
账  号：371905274710802</v>
      </c>
      <c r="O10" t="str">
        <f>_xlfn.XLOOKUP(A10,历史基础信息!A:A,历史基础信息!J:J,"")</f>
        <v>增值税专用发票/增值税普通发票：咨询服务费</v>
      </c>
      <c r="P10">
        <f>_xlfn.XLOOKUP(A10,历史基础信息!A:A,历史基础信息!K:K,"")</f>
        <v>0.06</v>
      </c>
    </row>
    <row r="11" spans="1:17">
      <c r="A11" s="68" t="s">
        <v>40</v>
      </c>
      <c r="B11" s="68" t="s">
        <v>41</v>
      </c>
      <c r="C11" s="68" t="s">
        <v>42</v>
      </c>
      <c r="I11" t="str">
        <f>IFERROR(_xlfn.XLOOKUP(A11,历史基础信息!$A$2:$A$52,历史基础信息!$D$2:$D$52,""),"")</f>
        <v>辽宁省沈阳市于洪区吉力湖街 228-1 号（21 门、22 门）</v>
      </c>
      <c r="J11">
        <f>_xlfn.XLOOKUP(A11,历史基础信息!A:A,历史基础信息!E:E,"")</f>
        <v>15840345732</v>
      </c>
      <c r="K11" t="str">
        <f>_xlfn.XLOOKUP(A11,历史基础信息!A:A,历史基础信息!F:F,"")</f>
        <v>常艳玲</v>
      </c>
      <c r="L11" t="str">
        <f>_xlfn.XLOOKUP(A11,历史基础信息!A:A,历史基础信息!G:G,"")</f>
        <v>1359995947@qq.com</v>
      </c>
      <c r="M11">
        <f>_xlfn.XLOOKUP(A11,历史基础信息!A:A,历史基础信息!H:H,"")</f>
        <v>15840345732</v>
      </c>
      <c r="N11" t="str">
        <f>_xlfn.XLOOKUP(A11,历史基础信息!A:A,历史基础信息!I:I,"")</f>
        <v>单位名称：沈阳雅努斯商贸有限公司
 开 户 行：中国光大银行沈阳金城支行
 账   号：75670188000258883
 地   址：辽宁省沈阳市于洪区阳光路26-1号（202）
电   话：024-31226855
 纳税人识别号：912101145734966210</v>
      </c>
      <c r="O11" t="str">
        <f>_xlfn.XLOOKUP(A11,历史基础信息!A:A,历史基础信息!J:J,"")</f>
        <v>增值税专用发票/增值税普通发票：维修费或维护费</v>
      </c>
      <c r="P11">
        <f>_xlfn.XLOOKUP(A11,历史基础信息!A:A,历史基础信息!K:K,"")</f>
        <v>0.06</v>
      </c>
    </row>
    <row r="12" spans="1:17">
      <c r="A12" s="68" t="s">
        <v>43</v>
      </c>
      <c r="B12" s="68" t="s">
        <v>44</v>
      </c>
      <c r="C12" s="68" t="s">
        <v>29</v>
      </c>
      <c r="I12" t="str">
        <f>IFERROR(_xlfn.XLOOKUP(A12,历史基础信息!$A$2:$A$52,历史基础信息!$D$2:$D$52,""),"")</f>
        <v>浙江省杭州市西湖区蒋村街道双龙街239号西投创智中心1号楼5层502室</v>
      </c>
      <c r="J12" t="str">
        <f>_xlfn.XLOOKUP(A12,历史基础信息!A:A,历史基础信息!E:E,"")</f>
        <v>0571-87131103</v>
      </c>
      <c r="K12" t="str">
        <f>_xlfn.XLOOKUP(A12,历史基础信息!A:A,历史基础信息!F:F,"")</f>
        <v>金芳</v>
      </c>
      <c r="L12" t="str">
        <f>_xlfn.XLOOKUP(A12,历史基础信息!A:A,历史基础信息!G:G,"")</f>
        <v>1182784991@qq.com</v>
      </c>
      <c r="M12">
        <f>_xlfn.XLOOKUP(A12,历史基础信息!A:A,历史基础信息!H:H,"")</f>
        <v>17857071365</v>
      </c>
      <c r="N12" t="str">
        <f>_xlfn.XLOOKUP(A12,历史基础信息!A:A,历史基础信息!I:I,"")</f>
        <v>公司名称：  浙江英特百善医疗设备有限公司
税务登记号：91330106079348885U
税务登记地址：浙江省杭州市西湖区蒋村街道双龙街239号西投创智中心1号楼5层502室
税务登记电话：0571-87131103
税务登记开户银行名称：中国工商银行股份有限公司杭州古墩路支行
税务登记银行账号：1202224909900169993
百善开户行行号：102331002495</v>
      </c>
      <c r="O12" t="str">
        <f>_xlfn.XLOOKUP(A12,历史基础信息!A:A,历史基础信息!J:J,"")</f>
        <v>增值税专用发票</v>
      </c>
      <c r="P12">
        <f>_xlfn.XLOOKUP(A12,历史基础信息!A:A,历史基础信息!K:K,"")</f>
        <v>0.06</v>
      </c>
    </row>
    <row r="13" spans="1:17">
      <c r="A13" s="68" t="s">
        <v>45</v>
      </c>
      <c r="B13" s="68" t="s">
        <v>36</v>
      </c>
      <c r="C13" s="68" t="s">
        <v>26</v>
      </c>
      <c r="I13" t="str">
        <f>IFERROR(_xlfn.XLOOKUP(A13,历史基础信息!$A$2:$A$52,历史基础信息!$D$2:$D$52,""),"")</f>
        <v>南宁市江南区金凯路106号联东U谷南宁经开科技港标准厂房16号厂房5楼</v>
      </c>
      <c r="J13" t="str">
        <f>_xlfn.XLOOKUP(A13,历史基础信息!A:A,历史基础信息!E:E,"")</f>
        <v>0771-4891028</v>
      </c>
      <c r="K13" t="str">
        <f>_xlfn.XLOOKUP(A13,历史基础信息!A:A,历史基础信息!F:F,"")</f>
        <v>郭尧</v>
      </c>
      <c r="L13" t="str">
        <f>_xlfn.XLOOKUP(A13,历史基础信息!A:A,历史基础信息!G:G,"")</f>
        <v>pxzx@ojscg.com</v>
      </c>
      <c r="M13">
        <f>_xlfn.XLOOKUP(A13,历史基础信息!A:A,历史基础信息!H:H,"")</f>
        <v>19977196114</v>
      </c>
      <c r="N13" t="str">
        <f>_xlfn.XLOOKUP(A13,历史基础信息!A:A,历史基础信息!I:I,"")</f>
        <v>公司名称：广西讴健供应链管理集团有限公司
地址：南宁市金凯路106号联东U谷南宁经开科技港标准厂房16号厂房101号房
邮 编：530031   电话：0771-4891028
开户行：中国银行南宁市桃源支行
账  号：618482498077</v>
      </c>
      <c r="O13" t="str">
        <f>_xlfn.XLOOKUP(A13,历史基础信息!A:A,历史基础信息!J:J,"")</f>
        <v>增值税专用发票/增值税普通发票：维修费或维护费</v>
      </c>
      <c r="P13">
        <f>_xlfn.XLOOKUP(A13,历史基础信息!A:A,历史基础信息!K:K,"")</f>
        <v>0.03</v>
      </c>
    </row>
    <row r="14" spans="1:17">
      <c r="A14" s="68" t="s">
        <v>46</v>
      </c>
      <c r="B14" s="68" t="s">
        <v>39</v>
      </c>
      <c r="C14" s="68" t="s">
        <v>19</v>
      </c>
      <c r="I14" t="str">
        <f>IFERROR(_xlfn.XLOOKUP(A14,历史基础信息!$A$2:$A$52,历史基础信息!$D$2:$D$52,""),"")</f>
        <v>河南省郑州市高新区莲花街联东U谷-郑州高新国际企业港18号-2号楼501</v>
      </c>
      <c r="J14" t="str">
        <f>_xlfn.XLOOKUP(A14,历史基础信息!A:A,历史基础信息!E:E,"")</f>
        <v>0371-55919089</v>
      </c>
      <c r="K14" t="str">
        <f>_xlfn.XLOOKUP(A14,历史基础信息!A:A,历史基础信息!F:F,"")</f>
        <v>汪晓锋</v>
      </c>
      <c r="L14" t="str">
        <f>_xlfn.XLOOKUP(A14,历史基础信息!A:A,历史基础信息!G:G,"")</f>
        <v>863637991@qq.com</v>
      </c>
      <c r="M14">
        <f>_xlfn.XLOOKUP(A14,历史基础信息!A:A,历史基础信息!H:H,"")</f>
        <v>15890058791</v>
      </c>
      <c r="N14" t="str">
        <f>_xlfn.XLOOKUP(A14,历史基础信息!A:A,历史基础信息!I:I,"")</f>
        <v>开票资料
单 位  名 称：河南晟宝电子技术有限公司
纳税人识别号：91410100MA3X9WQH3B
地 址、电 话：河南省郑州市高新区莲花街联东U谷-郑州高新国际企业港18号-2号楼401 0371-55919089
开户行及账号：中国银行股份有限公司郑州高新技术开发区支行258549558281</v>
      </c>
      <c r="O14" t="str">
        <f>_xlfn.XLOOKUP(A14,历史基础信息!A:A,历史基础信息!J:J,"")</f>
        <v>增值税专用发票/技术服务费</v>
      </c>
      <c r="P14">
        <f>_xlfn.XLOOKUP(A14,历史基础信息!A:A,历史基础信息!K:K,"")</f>
        <v>0.06</v>
      </c>
    </row>
    <row r="15" spans="1:17">
      <c r="A15" s="68" t="s">
        <v>47</v>
      </c>
      <c r="B15" s="68" t="s">
        <v>48</v>
      </c>
      <c r="C15" s="68" t="s">
        <v>29</v>
      </c>
      <c r="I15" t="str">
        <f>IFERROR(_xlfn.XLOOKUP(A15,历史基础信息!$A$2:$A$52,历史基础信息!$D$2:$D$52,""),"")</f>
        <v>安徽省合肥市包河区上海路18号淮仁堂4楼8401室</v>
      </c>
      <c r="J15" t="str">
        <f>_xlfn.XLOOKUP(A15,历史基础信息!A:A,历史基础信息!E:E,"")</f>
        <v>0551-62680075</v>
      </c>
      <c r="K15" t="str">
        <f>_xlfn.XLOOKUP(A15,历史基础信息!A:A,历史基础信息!F:F,"")</f>
        <v>胡娟</v>
      </c>
      <c r="L15" t="str">
        <f>_xlfn.XLOOKUP(A15,历史基础信息!A:A,历史基础信息!G:G,"")</f>
        <v>18712179581@163.com</v>
      </c>
      <c r="M15">
        <f>_xlfn.XLOOKUP(A15,历史基础信息!A:A,历史基础信息!H:H,"")</f>
        <v>18712179581</v>
      </c>
      <c r="N15" t="str">
        <f>_xlfn.XLOOKUP(A15,历史基础信息!A:A,历史基础信息!I:I,"")</f>
        <v>公司名称：安徽赛威思医疗供应链服务有限公司
地 址：安徽省合肥市包河区上海路18号淮仁堂4楼8401室
邮 编：230000  电  话：0551-62680075
开户行：中国建设银行合肥银杏苑支行
账  号：34050145090600000167</v>
      </c>
      <c r="O15" t="str">
        <f>_xlfn.XLOOKUP(A15,历史基础信息!A:A,历史基础信息!J:J,"")</f>
        <v>增值税专用发票/增值税普通发票：服务费或技术服务费</v>
      </c>
      <c r="P15">
        <f>_xlfn.XLOOKUP(A15,历史基础信息!A:A,历史基础信息!K:K,"")</f>
        <v>0.06</v>
      </c>
    </row>
    <row r="16" spans="1:17">
      <c r="A16" s="68" t="s">
        <v>49</v>
      </c>
      <c r="B16" s="68" t="s">
        <v>50</v>
      </c>
      <c r="C16" s="68" t="s">
        <v>51</v>
      </c>
      <c r="I16" t="str">
        <f>IFERROR(_xlfn.XLOOKUP(A16,历史基础信息!$A$2:$A$52,历史基础信息!$D$2:$D$52,""),"")</f>
        <v>河北省石家庄市桥西区新石中路375号金石大厦C座7楼</v>
      </c>
      <c r="J16">
        <f>_xlfn.XLOOKUP(A16,历史基础信息!A:A,历史基础信息!E:E,"")</f>
        <v>31183809982</v>
      </c>
      <c r="K16" t="str">
        <f>_xlfn.XLOOKUP(A16,历史基础信息!A:A,历史基础信息!F:F,"")</f>
        <v>刘刚</v>
      </c>
      <c r="L16" t="str">
        <f>_xlfn.XLOOKUP(A16,历史基础信息!A:A,历史基础信息!G:G,"")</f>
        <v>469997060@qq.com</v>
      </c>
      <c r="M16">
        <f>_xlfn.XLOOKUP(A16,历史基础信息!A:A,历史基础信息!H:H,"")</f>
        <v>17732120400</v>
      </c>
      <c r="N16" t="str">
        <f>_xlfn.XLOOKUP(A16,历史基础信息!A:A,历史基础信息!I:I,"")</f>
        <v xml:space="preserve">科海同业河北医疗器械贸易有限公司开票信息
公司名称：科海同业河北医疗器械贸易有限公司
开户行：建行石家庄红旗大街支行
账  号：13050161560800000996
税  号：91130104MA0CX2RJ07
地  址：河北省石家庄市桥西区新石中路375号金石大厦C座7楼722-726室
电  话：0311-83809982 </v>
      </c>
      <c r="O16" t="str">
        <f>_xlfn.XLOOKUP(A16,历史基础信息!A:A,历史基础信息!J:J,"")</f>
        <v>增值税专用发票/增值税普通发票：维修费或技术服务咨询</v>
      </c>
      <c r="P16">
        <f>_xlfn.XLOOKUP(A16,历史基础信息!A:A,历史基础信息!K:K,"")</f>
        <v>0.06</v>
      </c>
    </row>
    <row r="17" spans="1:16">
      <c r="A17" s="68" t="s">
        <v>52</v>
      </c>
      <c r="B17" s="68" t="s">
        <v>25</v>
      </c>
      <c r="C17" s="68" t="s">
        <v>26</v>
      </c>
      <c r="I17" t="str">
        <f>IFERROR(_xlfn.XLOOKUP(A17,历史基础信息!$A$2:$A$52,历史基础信息!$D$2:$D$52,""),"")</f>
        <v>成都市锦江区创意工业园毕昇路468号创世纪大厦1栋30层</v>
      </c>
      <c r="J17">
        <f>_xlfn.XLOOKUP(A17,历史基础信息!A:A,历史基础信息!E:E,"")</f>
        <v>18349375258</v>
      </c>
      <c r="K17" t="str">
        <f>_xlfn.XLOOKUP(A17,历史基础信息!A:A,历史基础信息!F:F,"")</f>
        <v>王春艳</v>
      </c>
      <c r="L17" t="str">
        <f>_xlfn.XLOOKUP(A17,历史基础信息!A:A,历史基础信息!G:G,"")</f>
        <v>936051093@qq.com</v>
      </c>
      <c r="M17">
        <f>_xlfn.XLOOKUP(A17,历史基础信息!A:A,历史基础信息!H:H,"")</f>
        <v>18349375258</v>
      </c>
      <c r="N17" t="str">
        <f>_xlfn.XLOOKUP(A17,历史基础信息!A:A,历史基础信息!I:I,"")</f>
        <v>户名：四川瑞孚医疗科技股份有限公司
开户行：成都银行股份有限公司锦江工业园支行
银行账号：1001300001082677
纳税人识别号：91510100MAC4G1J97E
公司地址：四川省成都市锦江区创意工业园毕昇路466号、468号1栋30层1号
公司电话：028-85212668</v>
      </c>
      <c r="O17" t="str">
        <f>_xlfn.XLOOKUP(A17,历史基础信息!A:A,历史基础信息!J:J,"")</f>
        <v>增值税专用发票：服务费或技术服务费</v>
      </c>
      <c r="P17">
        <f>_xlfn.XLOOKUP(A17,历史基础信息!A:A,历史基础信息!K:K,"")</f>
        <v>0.06</v>
      </c>
    </row>
    <row r="18" spans="1:16">
      <c r="A18" s="68" t="s">
        <v>53</v>
      </c>
      <c r="B18" s="68" t="s">
        <v>23</v>
      </c>
      <c r="C18" s="68" t="s">
        <v>19</v>
      </c>
      <c r="I18" t="str">
        <f>IFERROR(_xlfn.XLOOKUP(A18,历史基础信息!$A$2:$A$52,历史基础信息!$D$2:$D$52,""),"")</f>
        <v>甘肃省兰州市安宁区沙井驿街道北滨河西路1272号（兰州国际家居建材博览城B1区第9幢301室）</v>
      </c>
      <c r="J18">
        <f>_xlfn.XLOOKUP(A18,历史基础信息!A:A,历史基础信息!E:E,"")</f>
        <v>15379020517</v>
      </c>
      <c r="K18" t="str">
        <f>_xlfn.XLOOKUP(A18,历史基础信息!A:A,历史基础信息!F:F,"")</f>
        <v>程生宝</v>
      </c>
      <c r="L18" t="str">
        <f>_xlfn.XLOOKUP(A18,历史基础信息!A:A,历史基础信息!G:G,"")</f>
        <v>2479419728@qq.com</v>
      </c>
      <c r="M18">
        <f>_xlfn.XLOOKUP(A18,历史基础信息!A:A,历史基础信息!H:H,"")</f>
        <v>15379020517</v>
      </c>
      <c r="N18" t="str">
        <f>_xlfn.XLOOKUP(A18,历史基础信息!A:A,历史基础信息!I:I,"")</f>
        <v>公司名：甘肃赣陇医疗科技有限公司
地 址：甘肃省兰州市七里河区中天健11栋2201室
邮 编：730050   电  话：0931-7894298
开户行：交通银行兰州七里河支行
账  号：621060108013000133112</v>
      </c>
      <c r="O18" t="str">
        <f>_xlfn.XLOOKUP(A18,历史基础信息!A:A,历史基础信息!J:J,"")</f>
        <v>增值税专用发票/增值税普通发票：培训费</v>
      </c>
      <c r="P18">
        <f>_xlfn.XLOOKUP(A18,历史基础信息!A:A,历史基础信息!K:K,"")</f>
        <v>0.06</v>
      </c>
    </row>
    <row r="19" spans="1:16">
      <c r="A19" s="68" t="s">
        <v>54</v>
      </c>
      <c r="B19" s="68" t="s">
        <v>55</v>
      </c>
      <c r="C19" s="68" t="s">
        <v>19</v>
      </c>
      <c r="I19" t="str">
        <f>IFERROR(_xlfn.XLOOKUP(A19,历史基础信息!$A$2:$A$52,历史基础信息!$D$2:$D$52,""),"")</f>
        <v>陕西省西安市雁塔区高新区团结南路12号西安国际人才大厦A座1001室</v>
      </c>
      <c r="J19" t="str">
        <f>_xlfn.XLOOKUP(A19,历史基础信息!A:A,历史基础信息!E:E,"")</f>
        <v>029-88451665</v>
      </c>
      <c r="K19" t="str">
        <f>_xlfn.XLOOKUP(A19,历史基础信息!A:A,历史基础信息!F:F,"")</f>
        <v>成年</v>
      </c>
      <c r="L19" t="str">
        <f>_xlfn.XLOOKUP(A19,历史基础信息!A:A,历史基础信息!G:G,"")</f>
        <v>1183439346@qq.com</v>
      </c>
      <c r="M19">
        <f>_xlfn.XLOOKUP(A19,历史基础信息!A:A,历史基础信息!H:H,"")</f>
        <v>18840389808</v>
      </c>
      <c r="N19" t="str">
        <f>_xlfn.XLOOKUP(A19,历史基础信息!A:A,历史基础信息!I:I,"")</f>
        <v>公司名：西安尚肯电子科技有限公司
地 址：西安市高新区唐延南路十一号3幢1单元11627室
税号：9161 0131 3224 0244 08
邮 编：710000  电  话：029－88451665
开户行：中国银行股份有限公司西安逸翠园支行
账  号：1024 5129 5214</v>
      </c>
      <c r="O19" t="str">
        <f>_xlfn.XLOOKUP(A19,历史基础信息!A:A,历史基础信息!J:J,"")</f>
        <v>培训费，专票</v>
      </c>
      <c r="P19">
        <f>_xlfn.XLOOKUP(A19,历史基础信息!A:A,历史基础信息!K:K,"")</f>
        <v>0.06</v>
      </c>
    </row>
    <row r="20" spans="1:16">
      <c r="A20" s="68" t="s">
        <v>56</v>
      </c>
      <c r="B20" s="68" t="s">
        <v>25</v>
      </c>
      <c r="C20" s="68" t="s">
        <v>26</v>
      </c>
      <c r="I20" t="str">
        <f>IFERROR(_xlfn.XLOOKUP(A20,历史基础信息!$A$2:$A$52,历史基础信息!$D$2:$D$52,""),"")</f>
        <v>四川省成都市金牛区蜀西路42号三泰魔方B2栋904室</v>
      </c>
      <c r="J20" t="str">
        <f>_xlfn.XLOOKUP(A20,历史基础信息!A:A,历史基础信息!E:E,"")</f>
        <v>028-83178198</v>
      </c>
      <c r="K20" t="str">
        <f>_xlfn.XLOOKUP(A20,历史基础信息!A:A,历史基础信息!F:F,"")</f>
        <v>臧鹏</v>
      </c>
      <c r="L20" t="str">
        <f>_xlfn.XLOOKUP(A20,历史基础信息!A:A,历史基础信息!G:G,"")</f>
        <v>113317031@QQ.COM</v>
      </c>
      <c r="M20">
        <f>_xlfn.XLOOKUP(A20,历史基础信息!A:A,历史基础信息!H:H,"")</f>
        <v>13550241780</v>
      </c>
      <c r="N20" t="str">
        <f>_xlfn.XLOOKUP(A20,历史基础信息!A:A,历史基础信息!I:I,"")</f>
        <v>　</v>
      </c>
      <c r="O20" t="str">
        <f>_xlfn.XLOOKUP(A20,历史基础信息!A:A,历史基础信息!J:J,"")</f>
        <v>增值税专用发票/增值税普通发票：维修费</v>
      </c>
      <c r="P20">
        <f>_xlfn.XLOOKUP(A20,历史基础信息!A:A,历史基础信息!K:K,"")</f>
        <v>0.13</v>
      </c>
    </row>
    <row r="21" spans="1:16">
      <c r="A21" s="68" t="s">
        <v>57</v>
      </c>
      <c r="B21" s="68" t="s">
        <v>31</v>
      </c>
      <c r="C21" s="68" t="s">
        <v>32</v>
      </c>
      <c r="I21" t="str">
        <f>IFERROR(_xlfn.XLOOKUP(A21,历史基础信息!$A$2:$A$52,历史基础信息!$D$2:$D$52,""),"")</f>
        <v>广东省广州市番禺区南村镇兴业大道488号群兴科创园A栋307室</v>
      </c>
      <c r="J21" t="str">
        <f>_xlfn.XLOOKUP(A21,历史基础信息!A:A,历史基础信息!E:E,"")</f>
        <v>020-31052118</v>
      </c>
      <c r="K21" t="str">
        <f>_xlfn.XLOOKUP(A21,历史基础信息!A:A,历史基础信息!F:F,"")</f>
        <v>区伟民</v>
      </c>
      <c r="L21" t="str">
        <f>_xlfn.XLOOKUP(A21,历史基础信息!A:A,历史基础信息!G:G,"")</f>
        <v>499674663@QQ.com</v>
      </c>
      <c r="M21">
        <f>_xlfn.XLOOKUP(A21,历史基础信息!A:A,历史基础信息!H:H,"")</f>
        <v>13602820901</v>
      </c>
      <c r="N21" t="str">
        <f>_xlfn.XLOOKUP(A21,历史基础信息!A:A,历史基础信息!I:I,"")</f>
        <v>公司名：广东美馗生物技术有限公司
地 址：广州市番禺区市桥街兴泰路264号基盛万科大厦A栋602室
邮 编：511400  电  话：02031052118
开户行：中国工商银行股份有限公司广州大石支行
账  号：3602074819100483913</v>
      </c>
      <c r="O21" t="str">
        <f>_xlfn.XLOOKUP(A21,历史基础信息!A:A,历史基础信息!J:J,"")</f>
        <v>增税专票/普票</v>
      </c>
      <c r="P21">
        <f>_xlfn.XLOOKUP(A21,历史基础信息!A:A,历史基础信息!K:K,"")</f>
        <v>0.06</v>
      </c>
    </row>
    <row r="22" spans="1:16">
      <c r="A22" s="68" t="s">
        <v>58</v>
      </c>
      <c r="B22" s="68" t="s">
        <v>59</v>
      </c>
      <c r="C22" s="68" t="s">
        <v>42</v>
      </c>
      <c r="I22" t="str">
        <f>IFERROR(_xlfn.XLOOKUP(A22,历史基础信息!$A$2:$A$52,历史基础信息!$D$2:$D$52,""),"")</f>
        <v>吉林省长春市宽城区龙腾路1377号汇酉生物五楼会议室</v>
      </c>
      <c r="J22" t="str">
        <f>_xlfn.XLOOKUP(A22,历史基础信息!A:A,历史基础信息!E:E,"")</f>
        <v>0431-88922378</v>
      </c>
      <c r="K22" t="str">
        <f>_xlfn.XLOOKUP(A22,历史基础信息!A:A,历史基础信息!F:F,"")</f>
        <v>王颖</v>
      </c>
      <c r="L22" t="str">
        <f>_xlfn.XLOOKUP(A22,历史基础信息!A:A,历史基础信息!G:G,"")</f>
        <v>cchlkj@163.com</v>
      </c>
      <c r="M22">
        <f>_xlfn.XLOOKUP(A22,历史基础信息!A:A,历史基础信息!H:H,"")</f>
        <v>15584329559</v>
      </c>
      <c r="N22" t="str">
        <f>_xlfn.XLOOKUP(A22,历史基础信息!A:A,历史基础信息!I:I,"")</f>
        <v>公司名称：吉林省鸿嘉医疗器械有限公司税    号：9122 0104 6833 7279 36开 户 行：中国工商银行长春同志街支行账    号：4200 2291 0920 0051 752</v>
      </c>
      <c r="O22" t="str">
        <f>_xlfn.XLOOKUP(A22,历史基础信息!A:A,历史基础信息!J:J,"")</f>
        <v>增值税专用发票/增值税普通发票：维修费、服务费或现代服务</v>
      </c>
      <c r="P22" t="str">
        <f>_xlfn.XLOOKUP(A22,历史基础信息!A:A,历史基础信息!K:K,"")</f>
        <v>13%或6%</v>
      </c>
    </row>
    <row r="23" spans="1:16">
      <c r="A23" s="68" t="s">
        <v>60</v>
      </c>
      <c r="B23" s="68" t="s">
        <v>41</v>
      </c>
      <c r="C23" s="68" t="s">
        <v>42</v>
      </c>
      <c r="I23" t="str">
        <f>IFERROR(_xlfn.XLOOKUP(A23,历史基础信息!$A$2:$A$52,历史基础信息!$D$2:$D$52,""),"")</f>
        <v>辽宁省沈阳市和平区文艺路11号902</v>
      </c>
      <c r="J23" t="str">
        <f>_xlfn.XLOOKUP(A23,历史基础信息!A:A,历史基础信息!E:E,"")</f>
        <v>024-25258227</v>
      </c>
      <c r="K23" t="str">
        <f>_xlfn.XLOOKUP(A23,历史基础信息!A:A,历史基础信息!F:F,"")</f>
        <v>田佳鹭</v>
      </c>
      <c r="L23" t="str">
        <f>_xlfn.XLOOKUP(A23,历史基础信息!A:A,历史基础信息!G:G,"")</f>
        <v>2531008545@qq.com</v>
      </c>
      <c r="M23">
        <f>_xlfn.XLOOKUP(A23,历史基础信息!A:A,历史基础信息!H:H,"")</f>
        <v>18741035493</v>
      </c>
      <c r="N23" t="str">
        <f>_xlfn.XLOOKUP(A23,历史基础信息!A:A,历史基础信息!I:I,"")</f>
        <v>公 司：辽宁医工技术服务有限公司
地 址：沈阳市和平区文艺路11号902
邮 编：110001 电 话：024-25258227
开户行：中国民生银行股份有限公司沈阳青年大街支行  账  号：641894345</v>
      </c>
      <c r="O23" t="str">
        <f>_xlfn.XLOOKUP(A23,历史基础信息!A:A,历史基础信息!J:J,"")</f>
        <v>增值税专用发票/增值税普通发票：维修费或维护费</v>
      </c>
      <c r="P23">
        <f>_xlfn.XLOOKUP(A23,历史基础信息!A:A,历史基础信息!K:K,"")</f>
        <v>0.06</v>
      </c>
    </row>
    <row r="24" spans="1:16">
      <c r="A24" s="68" t="s">
        <v>61</v>
      </c>
      <c r="B24" s="68" t="s">
        <v>41</v>
      </c>
      <c r="C24" s="68" t="s">
        <v>42</v>
      </c>
      <c r="I24" t="str">
        <f>IFERROR(_xlfn.XLOOKUP(A24,历史基础信息!$A$2:$A$52,历史基础信息!$D$2:$D$52,""),"")</f>
        <v>沈阳市浑南区朗日街22号1门</v>
      </c>
      <c r="J24" t="str">
        <f>_xlfn.XLOOKUP(A24,历史基础信息!A:A,历史基础信息!E:E,"")</f>
        <v>024-31810269</v>
      </c>
      <c r="K24" t="str">
        <f>_xlfn.XLOOKUP(A24,历史基础信息!A:A,历史基础信息!F:F,"")</f>
        <v>张伟华</v>
      </c>
      <c r="L24" t="str">
        <f>_xlfn.XLOOKUP(A24,历史基础信息!A:A,历史基础信息!G:G,"")</f>
        <v>122381661@qq.com</v>
      </c>
      <c r="M24">
        <f>_xlfn.XLOOKUP(A24,历史基础信息!A:A,历史基础信息!H:H,"")</f>
        <v>13130478603</v>
      </c>
      <c r="N24" t="str">
        <f>_xlfn.XLOOKUP(A24,历史基础信息!A:A,历史基础信息!I:I,"")</f>
        <v>名称:沈阳卓康商贸有限公司
帐号：0618 4001 0400 23398
开户行：农业银行沈阳兴华支行
行号：103221018405</v>
      </c>
      <c r="O24" t="str">
        <f>_xlfn.XLOOKUP(A24,历史基础信息!A:A,历史基础信息!J:J,"")</f>
        <v>增值税专用发票/增值税普通发票：维修费或维护费</v>
      </c>
      <c r="P24">
        <f>_xlfn.XLOOKUP(A24,历史基础信息!A:A,历史基础信息!K:K,"")</f>
        <v>0.13</v>
      </c>
    </row>
    <row r="25" spans="1:16">
      <c r="A25" s="68" t="s">
        <v>62</v>
      </c>
      <c r="B25" s="68" t="s">
        <v>44</v>
      </c>
      <c r="C25" s="68" t="s">
        <v>29</v>
      </c>
      <c r="I25" t="str">
        <f>IFERROR(_xlfn.XLOOKUP(A25,历史基础信息!$A$2:$A$52,历史基础信息!$D$2:$D$52,""),"")</f>
        <v>浙江省杭州市萧山区萧山经济技术开
发区启迪路 198 号 B1-1001-01 室</v>
      </c>
      <c r="J25">
        <f>_xlfn.XLOOKUP(A25,历史基础信息!A:A,历史基础信息!E:E,"")</f>
        <v>15067157785</v>
      </c>
      <c r="K25" t="str">
        <f>_xlfn.XLOOKUP(A25,历史基础信息!A:A,历史基础信息!F:F,"")</f>
        <v>金冠盛</v>
      </c>
      <c r="L25" t="str">
        <f>_xlfn.XLOOKUP(A25,历史基础信息!A:A,历史基础信息!G:G,"")</f>
        <v>hzxsjgs@163.com</v>
      </c>
      <c r="M25">
        <f>_xlfn.XLOOKUP(A25,历史基础信息!A:A,历史基础信息!H:H,"")</f>
        <v>15067157785</v>
      </c>
      <c r="N25" t="str">
        <f>_xlfn.XLOOKUP(A25,历史基础信息!A:A,历史基础信息!I:I,"")</f>
        <v>单位全称 杭州华景医疗科技有限公司
税号 91330108MA28NFUK9G
开户银行 杭州银行萧山城厢支行
银行账号 3301040160016610662
地址 浙江省杭州市萧山区萧山经济技术开
发区启迪路 198 号 B1-1001-01 室
电话 0571-86712990</v>
      </c>
      <c r="O25" t="str">
        <f>_xlfn.XLOOKUP(A25,历史基础信息!A:A,历史基础信息!J:J,"")</f>
        <v>增值税专用发票/增值税普通发票：服务费或技术服务费</v>
      </c>
      <c r="P25">
        <f>_xlfn.XLOOKUP(A25,历史基础信息!A:A,历史基础信息!K:K,"")</f>
        <v>0.06</v>
      </c>
    </row>
    <row r="26" spans="1:16">
      <c r="A26" s="68" t="s">
        <v>63</v>
      </c>
      <c r="B26" s="68" t="s">
        <v>64</v>
      </c>
      <c r="C26" s="68" t="s">
        <v>51</v>
      </c>
      <c r="I26" t="str">
        <f>IFERROR(_xlfn.XLOOKUP(A26,历史基础信息!$A$2:$A$52,历史基础信息!$D$2:$D$52,""),"")</f>
        <v>北京市海淀区杏石口路30号A区119号</v>
      </c>
      <c r="J26">
        <f>_xlfn.XLOOKUP(A26,历史基础信息!A:A,历史基础信息!E:E,"")</f>
        <v>13311118969</v>
      </c>
      <c r="K26" t="str">
        <f>_xlfn.XLOOKUP(A26,历史基础信息!A:A,历史基础信息!F:F,"")</f>
        <v>王川</v>
      </c>
      <c r="L26" t="str">
        <f>_xlfn.XLOOKUP(A26,历史基础信息!A:A,历史基础信息!G:G,"")</f>
        <v>24160300@qq.com</v>
      </c>
      <c r="M26">
        <f>_xlfn.XLOOKUP(A26,历史基础信息!A:A,历史基础信息!H:H,"")</f>
        <v>13311118969</v>
      </c>
      <c r="N26" t="str">
        <f>_xlfn.XLOOKUP(A26,历史基础信息!A:A,历史基础信息!I:I,"")</f>
        <v>公司名：北京东南仪诚实验室设备有限公司
地 址：北京市海淀区杏石口路30号A区307号 010-51668855 
邮编：100195
税 号：911101087393532696
开户行及账号：工行西直门支行0200065009200031207
行号：102100006502</v>
      </c>
      <c r="O26" t="str">
        <f>_xlfn.XLOOKUP(A26,历史基础信息!A:A,历史基础信息!J:J,"")</f>
        <v>增值税专用发票/增值税普通发票：咨询服务</v>
      </c>
      <c r="P26">
        <f>_xlfn.XLOOKUP(A26,历史基础信息!A:A,历史基础信息!K:K,"")</f>
        <v>0.06</v>
      </c>
    </row>
    <row r="27" spans="1:16">
      <c r="A27" s="68" t="s">
        <v>65</v>
      </c>
      <c r="B27" s="68" t="s">
        <v>50</v>
      </c>
      <c r="C27" s="68" t="s">
        <v>51</v>
      </c>
      <c r="I27" t="str">
        <f>IFERROR(_xlfn.XLOOKUP(A27,历史基础信息!$A$2:$A$52,历史基础信息!$D$2:$D$52,""),"")</f>
        <v>河北省唐山市高新技术产业园区火炬路410号联东U谷产业园10#-1 214-1</v>
      </c>
      <c r="J27" t="str">
        <f>_xlfn.XLOOKUP(A27,历史基础信息!A:A,历史基础信息!E:E,"")</f>
        <v>　</v>
      </c>
      <c r="K27" t="str">
        <f>_xlfn.XLOOKUP(A27,历史基础信息!A:A,历史基础信息!F:F,"")</f>
        <v>肖付</v>
      </c>
      <c r="L27" t="str">
        <f>_xlfn.XLOOKUP(A27,历史基础信息!A:A,历史基础信息!G:G,"")</f>
        <v>564246333@qq.com</v>
      </c>
      <c r="M27">
        <f>_xlfn.XLOOKUP(A27,历史基础信息!A:A,历史基础信息!H:H,"")</f>
        <v>18716075943</v>
      </c>
      <c r="N27" t="str">
        <f>_xlfn.XLOOKUP(A27,历史基础信息!A:A,历史基础信息!I:I,"")</f>
        <v>河北钧溢祥医疗科技有限公司
纳税人识别号：91130293MACKWRQ19Q
地址：河北省唐山市高新技术产业园区火炬路410号联东U谷产业园10#-1 214-1
邮 编：063009      电话：131 8042 6580
开户行：招商银行股份有限公司唐山高新区支行
账号：315901218310701
联系人: 毛春媛 15175585716</v>
      </c>
      <c r="O27" t="str">
        <f>_xlfn.XLOOKUP(A27,历史基础信息!A:A,历史基础信息!J:J,"")</f>
        <v>增值税专用发票/增值税普通发票：维修费或维护费</v>
      </c>
      <c r="P27">
        <f>_xlfn.XLOOKUP(A27,历史基础信息!A:A,历史基础信息!K:K,"")</f>
        <v>0.03</v>
      </c>
    </row>
    <row r="28" spans="1:16">
      <c r="A28" s="68" t="s">
        <v>66</v>
      </c>
      <c r="B28" s="68" t="s">
        <v>67</v>
      </c>
      <c r="C28" s="68" t="s">
        <v>32</v>
      </c>
      <c r="I28" t="str">
        <f>IFERROR(_xlfn.XLOOKUP(A28,历史基础信息!$A$2:$A$52,历史基础信息!$D$2:$D$52,""),"")</f>
        <v>江西省南昌市青山湖区北山路259号塞维莱科技城B10栋1楼</v>
      </c>
      <c r="J28" t="str">
        <f>_xlfn.XLOOKUP(A28,历史基础信息!A:A,历史基础信息!E:E,"")</f>
        <v>0791-88107699</v>
      </c>
      <c r="K28" t="str">
        <f>_xlfn.XLOOKUP(A28,历史基础信息!A:A,历史基础信息!F:F,"")</f>
        <v>胡威</v>
      </c>
      <c r="L28" t="str">
        <f>_xlfn.XLOOKUP(A28,历史基础信息!A:A,历史基础信息!G:G,"")</f>
        <v>348933088@qq.com</v>
      </c>
      <c r="M28">
        <f>_xlfn.XLOOKUP(A28,历史基础信息!A:A,历史基础信息!H:H,"")</f>
        <v>13870966433</v>
      </c>
      <c r="N28" t="str">
        <f>_xlfn.XLOOKUP(A28,历史基础信息!A:A,历史基础信息!I:I,"")</f>
        <v>公司名称：江西吉迈医疗科技有限公司
地址：南昌市青山湖区北山路259号塞维莱科技园B10栋
邮编：332000          电话：0791-88107699
开户行：邮储银行洪城大市场支行   帐号：936007010013318895</v>
      </c>
      <c r="O28" t="str">
        <f>_xlfn.XLOOKUP(A28,历史基础信息!A:A,历史基础信息!J:J,"")</f>
        <v>增值税专用发票/增值税普通发票：维修费或维护费</v>
      </c>
      <c r="P28" t="str">
        <f>_xlfn.XLOOKUP(A28,历史基础信息!A:A,历史基础信息!K:K,"")</f>
        <v>　</v>
      </c>
    </row>
    <row r="29" spans="1:16">
      <c r="A29" s="68" t="s">
        <v>68</v>
      </c>
      <c r="B29" s="68" t="s">
        <v>69</v>
      </c>
      <c r="C29" s="68" t="s">
        <v>32</v>
      </c>
      <c r="I29" t="str">
        <f>IFERROR(_xlfn.XLOOKUP(A29,历史基础信息!$A$2:$A$52,历史基础信息!$D$2:$D$52,""),"")</f>
        <v>湖南省长沙市岳麓区麓松路489号海凭国际大厦C2栋818室</v>
      </c>
      <c r="J29" t="str">
        <f>_xlfn.XLOOKUP(A29,历史基础信息!A:A,历史基础信息!E:E,"")</f>
        <v>0731-86459660</v>
      </c>
      <c r="K29" t="str">
        <f>_xlfn.XLOOKUP(A29,历史基础信息!A:A,历史基础信息!F:F,"")</f>
        <v>徐锋彬</v>
      </c>
      <c r="L29" t="str">
        <f>_xlfn.XLOOKUP(A29,历史基础信息!A:A,历史基础信息!G:G,"")</f>
        <v>ykylpx@163.com</v>
      </c>
      <c r="M29">
        <f>_xlfn.XLOOKUP(A29,历史基础信息!A:A,历史基础信息!H:H,"")</f>
        <v>13574115681</v>
      </c>
      <c r="N29" t="str">
        <f>_xlfn.XLOOKUP(A29,历史基础信息!A:A,历史基础信息!I:I,"")</f>
        <v>公司名：湖南康锦元科技有限公司
地址：长沙高新开发区谷苑路229号海凭园2栋813房
邮编：410000 电话：0731-88805296
开户行：湖南银行股份有限公司长沙东塘支行 8121 0309 0000 07567</v>
      </c>
      <c r="O29" t="str">
        <f>_xlfn.XLOOKUP(A29,历史基础信息!A:A,历史基础信息!J:J,"")</f>
        <v>增值税专用发票/增值税普通发票：培训费</v>
      </c>
      <c r="P29">
        <f>_xlfn.XLOOKUP(A29,历史基础信息!A:A,历史基础信息!K:K,"")</f>
        <v>0.06</v>
      </c>
    </row>
    <row r="30" spans="1:16">
      <c r="A30" s="68" t="s">
        <v>70</v>
      </c>
      <c r="B30" s="68" t="s">
        <v>71</v>
      </c>
      <c r="C30" s="68" t="s">
        <v>32</v>
      </c>
      <c r="I30" t="str">
        <f>IFERROR(_xlfn.XLOOKUP(A30,历史基础信息!$A$2:$A$52,历史基础信息!$D$2:$D$52,""),"")</f>
        <v>海南省海口市龙华区南海大道100号美国工业村2-7单元二楼</v>
      </c>
      <c r="J30" t="str">
        <f>_xlfn.XLOOKUP(A30,历史基础信息!A:A,历史基础信息!E:E,"")</f>
        <v>0898-68545586</v>
      </c>
      <c r="K30" t="str">
        <f>_xlfn.XLOOKUP(A30,历史基础信息!A:A,历史基础信息!F:F,"")</f>
        <v>符业明</v>
      </c>
      <c r="L30" t="str">
        <f>_xlfn.XLOOKUP(A30,历史基础信息!A:A,历史基础信息!G:G,"")</f>
        <v>332101335@qq.com</v>
      </c>
      <c r="M30">
        <f>_xlfn.XLOOKUP(A30,历史基础信息!A:A,历史基础信息!H:H,"")</f>
        <v>13876685747</v>
      </c>
      <c r="N30" t="str">
        <f>_xlfn.XLOOKUP(A30,历史基础信息!A:A,历史基础信息!I:I,"")</f>
        <v>单位：海南凯曼生物科技有限公司
银行：中国工商银行股份有限公司海口海秀支行
银行帐号：2201021009200141553
纳税号： 91460000MA5TBBRF74</v>
      </c>
      <c r="O30" t="str">
        <f>_xlfn.XLOOKUP(A30,历史基础信息!A:A,历史基础信息!J:J,"")</f>
        <v>增值税专用发票/增值税普通发票：维修费或技术服务费</v>
      </c>
      <c r="P30">
        <f>_xlfn.XLOOKUP(A30,历史基础信息!A:A,历史基础信息!K:K,"")</f>
        <v>0.13</v>
      </c>
    </row>
    <row r="31" spans="1:16">
      <c r="A31" s="68" t="s">
        <v>72</v>
      </c>
      <c r="B31" s="68" t="s">
        <v>73</v>
      </c>
      <c r="C31" s="68" t="s">
        <v>32</v>
      </c>
      <c r="I31" t="str">
        <f>IFERROR(_xlfn.XLOOKUP(A31,历史基础信息!$A$2:$A$52,历史基础信息!$D$2:$D$52,""),"")</f>
        <v>广东省惠州市云山西路2号（帝景国际商务中心C座1925室）</v>
      </c>
      <c r="J31" t="str">
        <f>_xlfn.XLOOKUP(A31,历史基础信息!A:A,历史基础信息!E:E,"")</f>
        <v>0755-23774060</v>
      </c>
      <c r="K31" t="str">
        <f>_xlfn.XLOOKUP(A31,历史基础信息!A:A,历史基础信息!F:F,"")</f>
        <v>詹君</v>
      </c>
      <c r="L31" t="str">
        <f>_xlfn.XLOOKUP(A31,历史基础信息!A:A,历史基础信息!G:G,"")</f>
        <v>823226784@qq.com</v>
      </c>
      <c r="M31">
        <f>_xlfn.XLOOKUP(A31,历史基础信息!A:A,历史基础信息!H:H,"")</f>
        <v>18123650463</v>
      </c>
      <c r="N31" t="str">
        <f>_xlfn.XLOOKUP(A31,历史基础信息!A:A,历史基础信息!I:I,"")</f>
        <v>公司名：深圳市迈加生物医疗有限公司  
地址：深圳市前海深港合作区前湾一路1号A栋201室（入驻深圳市前海商务秘书有限公司）
邮编：518000
电话：0755-23764330
开户行：中国农业银行深圳八卦岭支行
账号：41004800040024027</v>
      </c>
      <c r="O31" t="str">
        <f>_xlfn.XLOOKUP(A31,历史基础信息!A:A,历史基础信息!J:J,"")</f>
        <v>增值税专用发票/增值税普通发票：服务费、技术咨询费</v>
      </c>
      <c r="P31">
        <f>_xlfn.XLOOKUP(A31,历史基础信息!A:A,历史基础信息!K:K,"")</f>
        <v>0.06</v>
      </c>
    </row>
    <row r="32" spans="1:16">
      <c r="A32" s="68" t="s">
        <v>74</v>
      </c>
      <c r="B32" s="68" t="s">
        <v>75</v>
      </c>
      <c r="C32" s="68" t="s">
        <v>51</v>
      </c>
      <c r="I32" t="str">
        <f>IFERROR(_xlfn.XLOOKUP(A32,历史基础信息!$A$2:$A$52,历史基础信息!$D$2:$D$52,""),"")</f>
        <v>山东省济南市历下区华夏福地3号楼1单元201室</v>
      </c>
      <c r="J32" t="str">
        <f>_xlfn.XLOOKUP(A32,历史基础信息!A:A,历史基础信息!E:E,"")</f>
        <v>0531-82916508</v>
      </c>
      <c r="K32" t="str">
        <f>_xlfn.XLOOKUP(A32,历史基础信息!A:A,历史基础信息!F:F,"")</f>
        <v>王辉</v>
      </c>
      <c r="L32" t="str">
        <f>_xlfn.XLOOKUP(A32,历史基础信息!A:A,历史基础信息!G:G,"")</f>
        <v>wh163631@163.com</v>
      </c>
      <c r="M32">
        <f>_xlfn.XLOOKUP(A32,历史基础信息!A:A,历史基础信息!H:H,"")</f>
        <v>18660812091</v>
      </c>
      <c r="N32" t="str">
        <f>_xlfn.XLOOKUP(A32,历史基础信息!A:A,历史基础信息!I:I,"")</f>
        <v>公司名：山东智信医疗设备有限公司
地 址：山东省济南市商河县玉皇庙镇白玉路与玉皇路交叉口公交始末站3楼311室
邮 编：251600    电  话：0531-82916508
开户行：招商银行股份有限公司济南解放路支行
账  号：531905488710401</v>
      </c>
      <c r="O32" t="str">
        <f>_xlfn.XLOOKUP(A32,历史基础信息!A:A,历史基础信息!J:J,"")</f>
        <v>增值税专用发票：培训费</v>
      </c>
      <c r="P32">
        <f>_xlfn.XLOOKUP(A32,历史基础信息!A:A,历史基础信息!K:K,"")</f>
        <v>0.06</v>
      </c>
    </row>
    <row r="33" spans="1:16">
      <c r="A33" s="68" t="s">
        <v>76</v>
      </c>
      <c r="B33" s="68" t="s">
        <v>77</v>
      </c>
      <c r="C33" s="68" t="s">
        <v>42</v>
      </c>
      <c r="I33" t="str">
        <f>IFERROR(_xlfn.XLOOKUP(A33,历史基础信息!$A$2:$A$52,历史基础信息!$D$2:$D$52,""),"")</f>
        <v>内蒙古呼和浩特市新城区腾飞北路15号606室</v>
      </c>
      <c r="J33">
        <f>_xlfn.XLOOKUP(A33,历史基础信息!A:A,历史基础信息!E:E,"")</f>
        <v>13847134917</v>
      </c>
      <c r="K33" t="str">
        <f>_xlfn.XLOOKUP(A33,历史基础信息!A:A,历史基础信息!F:F,"")</f>
        <v>杨晨光</v>
      </c>
      <c r="L33" t="str">
        <f>_xlfn.XLOOKUP(A33,历史基础信息!A:A,历史基础信息!G:G,"")</f>
        <v>767160131@qq.com</v>
      </c>
      <c r="M33">
        <f>_xlfn.XLOOKUP(A33,历史基础信息!A:A,历史基础信息!H:H,"")</f>
        <v>15148213495</v>
      </c>
      <c r="N33" t="str">
        <f>_xlfn.XLOOKUP(A33,历史基础信息!A:A,历史基础信息!I:I,"")</f>
        <v>公司名称：内蒙古众智医工技术服务有限公司
纳税人识别号：91150105MA7FNGEF4T
银行账号：4719 0219 6110 801
开户行：招商银行股份有限公司呼和浩特分行营业部
行号：3081 9103 6114
地址：内蒙古自治区呼和浩特市赛罕区绿地领海大厦B座1109  电话：18347407450          邮编010000</v>
      </c>
      <c r="O33" t="str">
        <f>_xlfn.XLOOKUP(A33,历史基础信息!A:A,历史基础信息!J:J,"")</f>
        <v>增值税专用发票/增值税普通发票：维修费或维护费</v>
      </c>
      <c r="P33">
        <f>_xlfn.XLOOKUP(A33,历史基础信息!A:A,历史基础信息!K:K,"")</f>
        <v>0.03</v>
      </c>
    </row>
    <row r="34" spans="1:16">
      <c r="A34" s="68" t="s">
        <v>78</v>
      </c>
      <c r="B34" s="68" t="s">
        <v>79</v>
      </c>
      <c r="C34" s="68" t="s">
        <v>26</v>
      </c>
      <c r="I34" t="str">
        <f>IFERROR(_xlfn.XLOOKUP(A34,历史基础信息!$A$2:$A$52,历史基础信息!$D$2:$D$52,""),"")</f>
        <v>云南省昆明市盘龙区北京路延长线住佳商宇4幢8层2号</v>
      </c>
      <c r="J34" t="str">
        <f>_xlfn.XLOOKUP(A34,历史基础信息!A:A,历史基础信息!E:E,"")</f>
        <v>0871-65382116</v>
      </c>
      <c r="K34" t="str">
        <f>_xlfn.XLOOKUP(A34,历史基础信息!A:A,历史基础信息!F:F,"")</f>
        <v>熊济</v>
      </c>
      <c r="L34" t="str">
        <f>_xlfn.XLOOKUP(A34,历史基础信息!A:A,历史基础信息!G:G,"")</f>
        <v>363377906@qq.com</v>
      </c>
      <c r="M34">
        <f>_xlfn.XLOOKUP(A34,历史基础信息!A:A,历史基础信息!H:H,"")</f>
        <v>13888203183</v>
      </c>
      <c r="N34" t="str">
        <f>_xlfn.XLOOKUP(A34,历史基础信息!A:A,历史基础信息!I:I,"")</f>
        <v>公司名：云南靖都医疗器械有限公司
地 址：云南省昆明市盘龙区北京路延长线住佳商宇4幢8层2号
邮 编：650000   电  话：0871-65382116
开户行：中国建设银行股份有限公司昆明凤凰城支行
账  号：53050190504000000013</v>
      </c>
      <c r="O34" t="str">
        <f>_xlfn.XLOOKUP(A34,历史基础信息!A:A,历史基础信息!J:J,"")</f>
        <v>增值税专用发票/增值税普通发票：维修费或维护费</v>
      </c>
      <c r="P34">
        <f>_xlfn.XLOOKUP(A34,历史基础信息!A:A,历史基础信息!K:K,"")</f>
        <v>0.13</v>
      </c>
    </row>
    <row r="35" spans="1:16">
      <c r="A35" s="68" t="s">
        <v>80</v>
      </c>
      <c r="B35" s="68" t="s">
        <v>25</v>
      </c>
      <c r="C35" s="68" t="s">
        <v>26</v>
      </c>
      <c r="I35" t="str">
        <f>IFERROR(_xlfn.XLOOKUP(A35,历史基础信息!$A$2:$A$52,历史基础信息!$D$2:$D$52,""),"")</f>
        <v>成都市青羊区光华北五路266号新兴产业示范大厦3栋11楼</v>
      </c>
      <c r="J35" t="str">
        <f>_xlfn.XLOOKUP(A35,历史基础信息!A:A,历史基础信息!E:E,"")</f>
        <v>028-86150103</v>
      </c>
      <c r="K35" t="str">
        <f>_xlfn.XLOOKUP(A35,历史基础信息!A:A,历史基础信息!F:F,"")</f>
        <v>唐萍</v>
      </c>
      <c r="L35" t="str">
        <f>_xlfn.XLOOKUP(A35,历史基础信息!A:A,历史基础信息!G:G,"")</f>
        <v>cdhrmj@126.com</v>
      </c>
      <c r="M35">
        <f>_xlfn.XLOOKUP(A35,历史基础信息!A:A,历史基础信息!H:H,"")</f>
        <v>15823546260</v>
      </c>
      <c r="N35" t="str">
        <f>_xlfn.XLOOKUP(A35,历史基础信息!A:A,历史基础信息!I:I,"")</f>
        <v>名称：成都泓然明吉商贸有限公司          纳税人识别号：91510105350558848T  地址、电话：成都市青羊区蜀金路1号3栋19层1905号  86150103                        开户行及帐号：招商银行成都分行金沙支行  128906494810101</v>
      </c>
      <c r="O35" t="str">
        <f>_xlfn.XLOOKUP(A35,历史基础信息!A:A,历史基础信息!J:J,"")</f>
        <v>增值税专用发票/增值税普通发票：维修费或维护费</v>
      </c>
      <c r="P35">
        <f>_xlfn.XLOOKUP(A35,历史基础信息!A:A,历史基础信息!K:K,"")</f>
        <v>0.13</v>
      </c>
    </row>
    <row r="36" spans="1:16">
      <c r="A36" s="68" t="s">
        <v>81</v>
      </c>
      <c r="B36" s="68" t="s">
        <v>82</v>
      </c>
      <c r="C36" s="68" t="s">
        <v>29</v>
      </c>
      <c r="I36" t="str">
        <f>IFERROR(_xlfn.XLOOKUP(A36,历史基础信息!$A$2:$A$52,历史基础信息!$D$2:$D$52,""),"")</f>
        <v>江苏省南京市秦淮区永丰大道36号01栋10楼</v>
      </c>
      <c r="J36" t="str">
        <f>_xlfn.XLOOKUP(A36,历史基础信息!A:A,历史基础信息!E:E,"")</f>
        <v>025-68538253</v>
      </c>
      <c r="K36" t="str">
        <f>_xlfn.XLOOKUP(A36,历史基础信息!A:A,历史基础信息!F:F,"")</f>
        <v>刘会奇</v>
      </c>
      <c r="L36" t="str">
        <f>_xlfn.XLOOKUP(A36,历史基础信息!A:A,历史基础信息!G:G,"")</f>
        <v>simba.liu@vedeng.com</v>
      </c>
      <c r="M36">
        <f>_xlfn.XLOOKUP(A36,历史基础信息!A:A,历史基础信息!H:H,"")</f>
        <v>13913040353</v>
      </c>
      <c r="N36" t="str">
        <f>_xlfn.XLOOKUP(A36,历史基础信息!A:A,历史基础信息!I:I,"")</f>
        <v xml:space="preserve">公司名：南京贝登医疗股份有限公司
地址：南京市秦淮区永顺路2号2幢三楼301室
邮编：210014    电 话：025-68538253
开户行： 中国建设银行江苏南京中山南路支行
账号： 32001881236052503686 </v>
      </c>
      <c r="O36" t="str">
        <f>_xlfn.XLOOKUP(A36,历史基础信息!A:A,历史基础信息!J:J,"")</f>
        <v>增值税普通发票：维修费或维护费</v>
      </c>
      <c r="P36">
        <f>_xlfn.XLOOKUP(A36,历史基础信息!A:A,历史基础信息!K:K,"")</f>
        <v>0.03</v>
      </c>
    </row>
    <row r="37" spans="1:16">
      <c r="A37" s="68" t="s">
        <v>83</v>
      </c>
      <c r="B37" s="68" t="s">
        <v>39</v>
      </c>
      <c r="C37" s="68" t="s">
        <v>19</v>
      </c>
      <c r="I37" t="str">
        <f>IFERROR(_xlfn.XLOOKUP(A37,历史基础信息!$A$2:$A$52,历史基础信息!$D$2:$D$52,""),"")</f>
        <v>河南省郑州市管城回族区经开第七大街与经北四路交叉口188号院北楼4楼407室</v>
      </c>
      <c r="J37" t="str">
        <f>_xlfn.XLOOKUP(A37,历史基础信息!A:A,历史基础信息!E:E,"")</f>
        <v>0371-66337061</v>
      </c>
      <c r="K37" t="str">
        <f>_xlfn.XLOOKUP(A37,历史基础信息!A:A,历史基础信息!F:F,"")</f>
        <v>郭啸</v>
      </c>
      <c r="L37" t="str">
        <f>_xlfn.XLOOKUP(A37,历史基础信息!A:A,历史基础信息!G:G,"")</f>
        <v>18614962807@163.com</v>
      </c>
      <c r="M37">
        <f>_xlfn.XLOOKUP(A37,历史基础信息!A:A,历史基础信息!H:H,"")</f>
        <v>18614962807</v>
      </c>
      <c r="N37" t="str">
        <f>_xlfn.XLOOKUP(A37,历史基础信息!A:A,历史基础信息!I:I,"")</f>
        <v>单位名称：郑州青旭医疗科技有限公司
税号：91410104MA9G002781
地址：河南省郑州市管城回族区城东南路55号2号楼2层209号
电话：13213261005
银行名称：招商银行股份有限公司郑州二里岗支行
账号：371908013610902</v>
      </c>
      <c r="O37" t="str">
        <f>_xlfn.XLOOKUP(A37,历史基础信息!A:A,历史基础信息!J:J,"")</f>
        <v>增值税专用发票/增值税普通发票</v>
      </c>
      <c r="P37">
        <f>_xlfn.XLOOKUP(A37,历史基础信息!A:A,历史基础信息!K:K,"")</f>
        <v>0.06</v>
      </c>
    </row>
    <row r="38" spans="1:16">
      <c r="A38" s="68" t="s">
        <v>84</v>
      </c>
      <c r="B38" s="68" t="s">
        <v>41</v>
      </c>
      <c r="C38" s="68" t="s">
        <v>42</v>
      </c>
      <c r="I38" t="str">
        <f>IFERROR(_xlfn.XLOOKUP(A38,历史基础信息!$A$2:$A$52,历史基础信息!$D$2:$D$52,""),"")</f>
        <v>辽宁省沈阳市浑南区浑南二路6-28号1801</v>
      </c>
      <c r="J38" t="str">
        <f>_xlfn.XLOOKUP(A38,历史基础信息!A:A,历史基础信息!E:E,"")</f>
        <v>024-31607646</v>
      </c>
      <c r="K38" t="str">
        <f>_xlfn.XLOOKUP(A38,历史基础信息!A:A,历史基础信息!F:F,"")</f>
        <v>李丹</v>
      </c>
      <c r="L38" t="str">
        <f>_xlfn.XLOOKUP(A38,历史基础信息!A:A,历史基础信息!G:G,"")</f>
        <v>524063673@qq.com</v>
      </c>
      <c r="M38">
        <f>_xlfn.XLOOKUP(A38,历史基础信息!A:A,历史基础信息!H:H,"")</f>
        <v>15998351074</v>
      </c>
      <c r="N38" t="str">
        <f>_xlfn.XLOOKUP(A38,历史基础信息!A:A,历史基础信息!I:I,"")</f>
        <v>公司名称：沈阳柏诺医疗电子科技有限公司
纳税人识别号：91210112MA7JNT3C93
地址：辽宁省沈阳市浑南区浑南二路6-28号（1-18-1、1-18-11）
电话：13904050810
开户行：招商银行股份有限公司沈阳新世界支行
账号：124910013710301</v>
      </c>
      <c r="O38" t="str">
        <f>_xlfn.XLOOKUP(A38,历史基础信息!A:A,历史基础信息!J:J,"")</f>
        <v>增值税专用发票/增值税普通发票：维修费或维护费</v>
      </c>
      <c r="P38">
        <f>_xlfn.XLOOKUP(A38,历史基础信息!A:A,历史基础信息!K:K,"")</f>
        <v>0.13</v>
      </c>
    </row>
    <row r="39" spans="1:16">
      <c r="A39" s="68" t="s">
        <v>85</v>
      </c>
      <c r="B39" s="68" t="s">
        <v>48</v>
      </c>
      <c r="C39" s="68" t="s">
        <v>29</v>
      </c>
      <c r="I39" t="str">
        <f>IFERROR(_xlfn.XLOOKUP(A39,历史基础信息!$A$2:$A$52,历史基础信息!$D$2:$D$52,""),"")</f>
        <v>安徽省合肥市蜀山区科学大道与合欢路交口合创产业园7D</v>
      </c>
      <c r="J39" t="str">
        <f>_xlfn.XLOOKUP(A39,历史基础信息!A:A,历史基础信息!E:E,"")</f>
        <v>0551-64466966</v>
      </c>
      <c r="K39" t="str">
        <f>_xlfn.XLOOKUP(A39,历史基础信息!A:A,历史基础信息!F:F,"")</f>
        <v>李龙</v>
      </c>
      <c r="L39" t="str">
        <f>_xlfn.XLOOKUP(A39,历史基础信息!A:A,历史基础信息!G:G,"")</f>
        <v>812640480@qq.com</v>
      </c>
      <c r="M39">
        <f>_xlfn.XLOOKUP(A39,历史基础信息!A:A,历史基础信息!H:H,"")</f>
        <v>17333079798</v>
      </c>
      <c r="N39" t="str">
        <f>_xlfn.XLOOKUP(A39,历史基础信息!A:A,历史基础信息!I:I,"")</f>
        <v>安徽蓝创生物科技有限公司
税 号：91340111MA2TU3PJ33
地 址：安徽省合肥市高新区合欢路10号7号楼
电 话：0551-64466966
开户行：徽商银行股份有限公司合肥经济开发区支行
帐 号：223021347901000002</v>
      </c>
      <c r="O39" t="str">
        <f>_xlfn.XLOOKUP(A39,历史基础信息!A:A,历史基础信息!J:J,"")</f>
        <v>增值税专用发票/增值税普通发票：维修费</v>
      </c>
      <c r="P39">
        <f>_xlfn.XLOOKUP(A39,历史基础信息!A:A,历史基础信息!K:K,"")</f>
        <v>0.13</v>
      </c>
    </row>
    <row r="40" spans="1:16">
      <c r="A40" s="68" t="s">
        <v>86</v>
      </c>
      <c r="B40" s="68" t="s">
        <v>67</v>
      </c>
      <c r="C40" s="68" t="s">
        <v>32</v>
      </c>
      <c r="I40" t="str">
        <f>IFERROR(_xlfn.XLOOKUP(A40,历史基础信息!$A$2:$A$52,历史基础信息!$D$2:$D$52,""),"")</f>
        <v>江西省南昌市南昌县莲塘北大道899号鹿鼎爱丁堡30栋106室</v>
      </c>
      <c r="J40">
        <f>_xlfn.XLOOKUP(A40,历史基础信息!A:A,历史基础信息!E:E,"")</f>
        <v>18870083757</v>
      </c>
      <c r="K40" t="str">
        <f>_xlfn.XLOOKUP(A40,历史基础信息!A:A,历史基础信息!F:F,"")</f>
        <v>夏子路</v>
      </c>
      <c r="L40" t="str">
        <f>_xlfn.XLOOKUP(A40,历史基础信息!A:A,历史基础信息!G:G,"")</f>
        <v>915318704@qq.com</v>
      </c>
      <c r="M40">
        <f>_xlfn.XLOOKUP(A40,历史基础信息!A:A,历史基础信息!H:H,"")</f>
        <v>18870083757</v>
      </c>
      <c r="N40" t="str">
        <f>_xlfn.XLOOKUP(A40,历史基础信息!A:A,历史基础信息!I:I,"")</f>
        <v>公司名：江西恒嘉信生物科技有限公司
地 址：江西省上饶经济技术开发戊兴业大道26号(盛奇光学产业园3栋7楼)
邮 编：334000   电  话：15870971288
开户行：中国工商银行股份有限公司广信旭日支行
账  号：1512004509000078626</v>
      </c>
      <c r="O40" t="str">
        <f>_xlfn.XLOOKUP(A40,历史基础信息!A:A,历史基础信息!J:J,"")</f>
        <v>增值税专用发票/增值税普通发票：维修费或维护费</v>
      </c>
      <c r="P40">
        <f>_xlfn.XLOOKUP(A40,历史基础信息!A:A,历史基础信息!K:K,"")</f>
        <v>0.13</v>
      </c>
    </row>
    <row r="41" spans="1:16">
      <c r="A41" s="68" t="s">
        <v>87</v>
      </c>
      <c r="B41" s="68" t="s">
        <v>55</v>
      </c>
      <c r="C41" s="68" t="s">
        <v>19</v>
      </c>
      <c r="I41" t="str">
        <f>IFERROR(_xlfn.XLOOKUP(A41,历史基础信息!$A$2:$A$52,历史基础信息!$D$2:$D$52,""),"")</f>
        <v>西安佑鑫电子园F座1单元F502</v>
      </c>
      <c r="J41" t="str">
        <f>_xlfn.XLOOKUP(A41,历史基础信息!A:A,历史基础信息!E:E,"")</f>
        <v>029-88603550</v>
      </c>
      <c r="K41" t="str">
        <f>_xlfn.XLOOKUP(A41,历史基础信息!A:A,历史基础信息!F:F,"")</f>
        <v>魏萌</v>
      </c>
      <c r="L41" t="str">
        <f>_xlfn.XLOOKUP(A41,历史基础信息!A:A,历史基础信息!G:G,"")</f>
        <v>353102431@qq.com</v>
      </c>
      <c r="M41">
        <f>_xlfn.XLOOKUP(A41,历史基础信息!A:A,历史基础信息!H:H,"")</f>
        <v>18729109671</v>
      </c>
      <c r="N41" t="str">
        <f>_xlfn.XLOOKUP(A41,历史基础信息!A:A,历史基础信息!I:I,"")</f>
        <v>公司名称：陕西沃尔克贸易有限公司
税    号：9161  0000  762  591  9192
地    址：西安市雁塔区太白南路181号西部电子信息产业城A座工业写字楼306室
电    话：029-88855221
开 户 行：招商银行朱雀大街支行
账    号：29818  00529 10001</v>
      </c>
      <c r="O41" t="str">
        <f>_xlfn.XLOOKUP(A41,历史基础信息!A:A,历史基础信息!J:J,"")</f>
        <v>增值税专用发票/增值税普通发票：客户培训费</v>
      </c>
      <c r="P41">
        <f>_xlfn.XLOOKUP(A41,历史基础信息!A:A,历史基础信息!K:K,"")</f>
        <v>0.06</v>
      </c>
    </row>
    <row r="42" spans="1:16">
      <c r="A42" s="68" t="s">
        <v>88</v>
      </c>
      <c r="B42" s="68" t="s">
        <v>41</v>
      </c>
      <c r="C42" s="68" t="s">
        <v>42</v>
      </c>
      <c r="I42" t="str">
        <f>IFERROR(_xlfn.XLOOKUP(A42,历史基础信息!$A$2:$A$52,历史基础信息!$D$2:$D$52,""),"")</f>
        <v>沈阳市浑南区全运五路安拓国际产业园A34-3门</v>
      </c>
      <c r="J42">
        <f>_xlfn.XLOOKUP(A42,历史基础信息!A:A,历史基础信息!E:E,"")</f>
        <v>13940162937</v>
      </c>
      <c r="K42" t="str">
        <f>_xlfn.XLOOKUP(A42,历史基础信息!A:A,历史基础信息!F:F,"")</f>
        <v>纪晓颖</v>
      </c>
      <c r="L42" t="str">
        <f>_xlfn.XLOOKUP(A42,历史基础信息!A:A,历史基础信息!G:G,"")</f>
        <v>527157127@qq.com</v>
      </c>
      <c r="M42">
        <f>_xlfn.XLOOKUP(A42,历史基础信息!A:A,历史基础信息!H:H,"")</f>
        <v>13940162937</v>
      </c>
      <c r="N42" t="str">
        <f>_xlfn.XLOOKUP(A42,历史基础信息!A:A,历史基础信息!I:I,"")</f>
        <v>公司名：沈阳永迪商贸有限公司
地 址：辽宁省沈阳市辽中区老大房镇老观村
   电  话：13909817686
开户行：华夏银行股份有限公司沈阳于洪支行
账  号：11062000000180957</v>
      </c>
      <c r="O42" t="str">
        <f>_xlfn.XLOOKUP(A42,历史基础信息!A:A,历史基础信息!J:J,"")</f>
        <v>增值税专用发票/增值税普通发票：维修费或维护费</v>
      </c>
      <c r="P42">
        <f>_xlfn.XLOOKUP(A42,历史基础信息!A:A,历史基础信息!K:K,"")</f>
        <v>0.03</v>
      </c>
    </row>
    <row r="43" spans="1:16">
      <c r="A43" s="68" t="s">
        <v>89</v>
      </c>
      <c r="B43" s="68" t="s">
        <v>31</v>
      </c>
      <c r="C43" s="68" t="s">
        <v>32</v>
      </c>
      <c r="I43" t="str">
        <f>IFERROR(_xlfn.XLOOKUP(A43,历史基础信息!$A$2:$A$52,历史基础信息!$D$2:$D$52,""),"")</f>
        <v>广州市海珠区石溪新业路18号东篱创新谷红谷3楼308室</v>
      </c>
      <c r="J43" t="str">
        <f>_xlfn.XLOOKUP(A43,历史基础信息!A:A,历史基础信息!E:E,"")</f>
        <v>020-87369300</v>
      </c>
      <c r="K43" t="str">
        <f>_xlfn.XLOOKUP(A43,历史基础信息!A:A,历史基础信息!F:F,"")</f>
        <v>梁妙红</v>
      </c>
      <c r="L43" t="str">
        <f>_xlfn.XLOOKUP(A43,历史基础信息!A:A,历史基础信息!G:G,"")</f>
        <v>2643230478@qq.com</v>
      </c>
      <c r="M43">
        <f>_xlfn.XLOOKUP(A43,历史基础信息!A:A,历史基础信息!H:H,"")</f>
        <v>13664948125</v>
      </c>
      <c r="N43" t="str">
        <f>_xlfn.XLOOKUP(A43,历史基础信息!A:A,历史基础信息!I:I,"")</f>
        <v>名称：广州兆邦医疗科技有限公司
纳税人识别号：914401045679391154
地址、电话：广州市海珠区石溪新业路18号自编304铺、18号之一自编305-306铺  020-87369300
开户行：中国建设银行股份有限公司广州五羊新城支行
账号：44050140090500000528</v>
      </c>
      <c r="O43" t="str">
        <f>_xlfn.XLOOKUP(A43,历史基础信息!A:A,历史基础信息!J:J,"")</f>
        <v>增值税专用发票/增值税普通发票：培训费</v>
      </c>
      <c r="P43">
        <f>_xlfn.XLOOKUP(A43,历史基础信息!A:A,历史基础信息!K:K,"")</f>
        <v>0.06</v>
      </c>
    </row>
    <row r="44" spans="1:16">
      <c r="A44" s="68" t="s">
        <v>90</v>
      </c>
      <c r="B44" s="68" t="s">
        <v>67</v>
      </c>
      <c r="C44" s="68" t="s">
        <v>32</v>
      </c>
      <c r="I44" t="str">
        <f>IFERROR(_xlfn.XLOOKUP(A44,历史基础信息!$A$2:$A$52,历史基础信息!$D$2:$D$52,""),"")</f>
        <v>南昌市西湖区沿江南大道1979号海珀悦庭3-1#311室</v>
      </c>
      <c r="J44">
        <f>_xlfn.XLOOKUP(A44,历史基础信息!A:A,历史基础信息!E:E,"")</f>
        <v>13330098353</v>
      </c>
      <c r="K44" t="str">
        <f>_xlfn.XLOOKUP(A44,历史基础信息!A:A,历史基础信息!F:F,"")</f>
        <v>徐旭伟</v>
      </c>
      <c r="L44" t="str">
        <f>_xlfn.XLOOKUP(A44,历史基础信息!A:A,历史基础信息!G:G,"")</f>
        <v>984865935@qq.com</v>
      </c>
      <c r="M44">
        <f>_xlfn.XLOOKUP(A44,历史基础信息!A:A,历史基础信息!H:H,"")</f>
        <v>18079123790</v>
      </c>
      <c r="N44" t="str">
        <f>_xlfn.XLOOKUP(A44,历史基础信息!A:A,历史基础信息!I:I,"")</f>
        <v>公司名称：江西楠海医疗设备有限公司   
税号：91360103MA7JQA5T5N
公司地址：江西省南昌市西湖区沿江南大道1979号海珀悦庭3-1#311室
电话：18970056133
开户行：工行南昌朝阳新区支行
账号：1502002509000026449</v>
      </c>
      <c r="O44" t="str">
        <f>_xlfn.XLOOKUP(A44,历史基础信息!A:A,历史基础信息!J:J,"")</f>
        <v>增值税专用发票</v>
      </c>
      <c r="P44">
        <f>_xlfn.XLOOKUP(A44,历史基础信息!A:A,历史基础信息!K:K,"")</f>
        <v>0.06</v>
      </c>
    </row>
    <row r="45" spans="1:16">
      <c r="A45" s="68" t="s">
        <v>91</v>
      </c>
      <c r="B45" s="68" t="s">
        <v>31</v>
      </c>
      <c r="C45" s="68" t="s">
        <v>32</v>
      </c>
      <c r="I45" t="str">
        <f>IFERROR(_xlfn.XLOOKUP(A45,历史基础信息!$A$2:$A$52,历史基础信息!$D$2:$D$52,""),"")</f>
        <v>广州市番禺区东环街番禺大道北555号天安总部中心16号楼703室</v>
      </c>
      <c r="J45" t="str">
        <f>_xlfn.XLOOKUP(A45,历史基础信息!A:A,历史基础信息!E:E,"")</f>
        <v>020-39995892</v>
      </c>
      <c r="K45" t="str">
        <f>_xlfn.XLOOKUP(A45,历史基础信息!A:A,历史基础信息!F:F,"")</f>
        <v>卫永斯</v>
      </c>
      <c r="L45" t="str">
        <f>_xlfn.XLOOKUP(A45,历史基础信息!A:A,历史基础信息!G:G,"")</f>
        <v>gzzl@innostic.com</v>
      </c>
      <c r="M45">
        <f>_xlfn.XLOOKUP(A45,历史基础信息!A:A,历史基础信息!H:H,"")</f>
        <v>18142804355</v>
      </c>
      <c r="N45" t="str">
        <f>_xlfn.XLOOKUP(A45,历史基础信息!A:A,历史基础信息!I:I,"")</f>
        <v>公司名：广州致菱医疗供应链管理有限公司
地 址：广州市番禺区东环街番禺大道北555号天安总部中心16号楼604室
邮 编：511400   电  话：020-39995892  
开户行：招商银行股份有限公司广州天安支行
账  号：120919258810106</v>
      </c>
      <c r="O45" t="str">
        <f>_xlfn.XLOOKUP(A45,历史基础信息!A:A,历史基础信息!J:J,"")</f>
        <v>增值税专用发票/增值税普通发票：维修费或维护费</v>
      </c>
      <c r="P45">
        <f>_xlfn.XLOOKUP(A45,历史基础信息!A:A,历史基础信息!K:K,"")</f>
        <v>0.03</v>
      </c>
    </row>
    <row r="46" spans="1:16">
      <c r="A46" s="68" t="s">
        <v>92</v>
      </c>
      <c r="B46" s="68" t="s">
        <v>64</v>
      </c>
      <c r="C46" s="68" t="s">
        <v>51</v>
      </c>
      <c r="I46" t="str">
        <f>IFERROR(_xlfn.XLOOKUP(A46,历史基础信息!$A$2:$A$52,历史基础信息!$D$2:$D$52,""),"")</f>
        <v>北京市朝阳区雅宝路10号15层1510室</v>
      </c>
      <c r="J46" t="str">
        <f>_xlfn.XLOOKUP(A46,历史基础信息!A:A,历史基础信息!E:E,"")</f>
        <v>010-52486570</v>
      </c>
      <c r="K46" t="str">
        <f>_xlfn.XLOOKUP(A46,历史基础信息!A:A,历史基础信息!F:F,"")</f>
        <v>白茹</v>
      </c>
      <c r="L46" t="str">
        <f>_xlfn.XLOOKUP(A46,历史基础信息!A:A,历史基础信息!G:G,"")</f>
        <v>mdwe_bairu@163.com</v>
      </c>
      <c r="M46">
        <f>_xlfn.XLOOKUP(A46,历史基础信息!A:A,历史基础信息!H:H,"")</f>
        <v>15801503575</v>
      </c>
      <c r="N46" t="str">
        <f>_xlfn.XLOOKUP(A46,历史基础信息!A:A,历史基础信息!I:I,"")</f>
        <v>名称：北京迅捷康达医学技术有限公司
纳税人识别号（税号）：911101147990165395
地址、电话：北京市朝阳区雅宝路10号15层1510室  010-52486570
开户行及账号：招商银行北京万达广场支行 863080134810001</v>
      </c>
      <c r="O46" t="str">
        <f>_xlfn.XLOOKUP(A46,历史基础信息!A:A,历史基础信息!J:J,"")</f>
        <v>值税普通发票：维修费或维护费</v>
      </c>
      <c r="P46">
        <f>_xlfn.XLOOKUP(A46,历史基础信息!A:A,历史基础信息!K:K,"")</f>
        <v>0.03</v>
      </c>
    </row>
    <row r="47" spans="1:16">
      <c r="A47" s="68" t="s">
        <v>93</v>
      </c>
      <c r="B47" s="68" t="s">
        <v>55</v>
      </c>
      <c r="C47" s="68" t="s">
        <v>19</v>
      </c>
      <c r="I47" t="str">
        <f>IFERROR(_xlfn.XLOOKUP(A47,历史基础信息!$A$2:$A$52,历史基础信息!$D$2:$D$52,""),"")</f>
        <v>陕西省西安市高新区南三环辅道G25号3幢3楼</v>
      </c>
      <c r="J47" t="str">
        <f>_xlfn.XLOOKUP(A47,历史基础信息!A:A,历史基础信息!E:E,"")</f>
        <v>029-88851899</v>
      </c>
      <c r="K47" t="str">
        <f>_xlfn.XLOOKUP(A47,历史基础信息!A:A,历史基础信息!F:F,"")</f>
        <v>马飞艳</v>
      </c>
      <c r="L47" t="str">
        <f>_xlfn.XLOOKUP(A47,历史基础信息!A:A,历史基础信息!G:G,"")</f>
        <v>310551288@qq.com</v>
      </c>
      <c r="M47">
        <f>_xlfn.XLOOKUP(A47,历史基础信息!A:A,历史基础信息!H:H,"")</f>
        <v>13571085656</v>
      </c>
      <c r="N47" t="str">
        <f>_xlfn.XLOOKUP(A47,历史基础信息!A:A,历史基础信息!I:I,"")</f>
        <v>公司名：陕西瑞孚医疗科技有限公司
地 址：陕西省西安市高新区南三环辅道G25号3幢3楼
邮 编：710075   电  话：029-88851899
开户行：招商银行西安分行太白路支行
账  号：129911117610101</v>
      </c>
      <c r="O47" t="str">
        <f>_xlfn.XLOOKUP(A47,历史基础信息!A:A,历史基础信息!J:J,"")</f>
        <v>增值税专用发票/增值税普通发票：维修费或维护费</v>
      </c>
      <c r="P47">
        <f>_xlfn.XLOOKUP(A47,历史基础信息!A:A,历史基础信息!K:K,"")</f>
        <v>0.13</v>
      </c>
    </row>
    <row r="48" spans="1:16">
      <c r="A48" s="68" t="s">
        <v>94</v>
      </c>
      <c r="B48" s="68" t="s">
        <v>95</v>
      </c>
      <c r="C48" s="68" t="s">
        <v>42</v>
      </c>
      <c r="I48" t="str">
        <f>IFERROR(_xlfn.XLOOKUP(A48,历史基础信息!$A$2:$A$52,历史基础信息!$D$2:$D$52,""),"")</f>
        <v>哈尔滨市南岗区哈西大街928号巴黎第五区23-1商服</v>
      </c>
      <c r="J48" t="str">
        <f>_xlfn.XLOOKUP(A48,历史基础信息!A:A,历史基础信息!E:E,"")</f>
        <v>　</v>
      </c>
      <c r="K48" t="str">
        <f>_xlfn.XLOOKUP(A48,历史基础信息!A:A,历史基础信息!F:F,"")</f>
        <v>王兴魁</v>
      </c>
      <c r="L48" t="str">
        <f>_xlfn.XLOOKUP(A48,历史基础信息!A:A,历史基础信息!G:G,"")</f>
        <v>30134659@qq.com</v>
      </c>
      <c r="M48">
        <f>_xlfn.XLOOKUP(A48,历史基础信息!A:A,历史基础信息!H:H,"")</f>
        <v>18645122699</v>
      </c>
      <c r="N48" t="str">
        <f>_xlfn.XLOOKUP(A48,历史基础信息!A:A,历史基础信息!I:I,"")</f>
        <v>名称：哈尔滨众泰医疗科技发展有限公司
纳税人识别号：91230109MAC1FQK507
地址电话：黑龙江省哈尔滨市松北区智谷二街3043号哈尔滨松北（深圳龙岗）科技创新产业园13栋2层2318房间
电话：0451-86610563
开户行：哈尔滨银行股份有限公司欧洲新城支行
账号：18010000001725788</v>
      </c>
      <c r="O48" t="str">
        <f>_xlfn.XLOOKUP(A48,历史基础信息!A:A,历史基础信息!J:J,"")</f>
        <v>　</v>
      </c>
      <c r="P48" t="str">
        <f>_xlfn.XLOOKUP(A48,历史基础信息!A:A,历史基础信息!K:K,"")</f>
        <v>　</v>
      </c>
    </row>
    <row r="49" spans="1:16">
      <c r="A49" s="68" t="s">
        <v>96</v>
      </c>
      <c r="B49" s="68" t="s">
        <v>67</v>
      </c>
      <c r="C49" s="68" t="s">
        <v>32</v>
      </c>
      <c r="I49" t="str">
        <f>IFERROR(_xlfn.XLOOKUP(A49,历史基础信息!$A$2:$A$52,历史基础信息!$D$2:$D$52,""),"")</f>
        <v>江西省南昌市红谷滩区绿茵路129号联发广场写字楼2103、2104</v>
      </c>
      <c r="J49" t="str">
        <f>_xlfn.XLOOKUP(A49,历史基础信息!A:A,历史基础信息!E:E,"")</f>
        <v>　</v>
      </c>
      <c r="K49" t="str">
        <f>_xlfn.XLOOKUP(A49,历史基础信息!A:A,历史基础信息!F:F,"")</f>
        <v>钟伟健</v>
      </c>
      <c r="L49" t="str">
        <f>_xlfn.XLOOKUP(A49,历史基础信息!A:A,历史基础信息!G:G,"")</f>
        <v>1604267401@qq.com</v>
      </c>
      <c r="M49">
        <f>_xlfn.XLOOKUP(A49,历史基础信息!A:A,历史基础信息!H:H,"")</f>
        <v>13687911089</v>
      </c>
      <c r="N49" t="str">
        <f>_xlfn.XLOOKUP(A49,历史基础信息!A:A,历史基础信息!I:I,"")</f>
        <v xml:space="preserve">名称：江西诚珏贸易有限公司                 单位地址：江西省南昌市红谷滩区绿茵路129号联发广场写字楼2103、2104
电话：13687911089                            开户银行：中国银行江西省分行
银行账户：2007 4356 7534 </v>
      </c>
      <c r="O49" t="str">
        <f>_xlfn.XLOOKUP(A49,历史基础信息!A:A,历史基础信息!J:J,"")</f>
        <v>增值税专用发票/增值税普通发票：维修费或维护费</v>
      </c>
      <c r="P49">
        <f>_xlfn.XLOOKUP(A49,历史基础信息!A:A,历史基础信息!K:K,"")</f>
        <v>0.13</v>
      </c>
    </row>
    <row r="50" spans="1:16">
      <c r="A50" s="68" t="s">
        <v>97</v>
      </c>
      <c r="B50" s="68" t="s">
        <v>64</v>
      </c>
      <c r="C50" s="68" t="s">
        <v>51</v>
      </c>
      <c r="I50" t="str">
        <f>IFERROR(_xlfn.XLOOKUP(A50,历史基础信息!$A$2:$A$52,历史基础信息!$D$2:$D$52,""),"")</f>
        <v>北京市大兴区金星路12号院2号楼1208室</v>
      </c>
      <c r="J50" t="str">
        <f>_xlfn.XLOOKUP(A50,历史基础信息!A:A,历史基础信息!E:E,"")</f>
        <v>010-63038802</v>
      </c>
      <c r="K50" t="str">
        <f>_xlfn.XLOOKUP(A50,历史基础信息!A:A,历史基础信息!F:F,"")</f>
        <v>潘静</v>
      </c>
      <c r="L50" t="str">
        <f>_xlfn.XLOOKUP(A50,历史基础信息!A:A,历史基础信息!G:G,"")</f>
        <v>panjing@bj-xrhs.com</v>
      </c>
      <c r="M50">
        <f>_xlfn.XLOOKUP(A50,历史基础信息!A:A,历史基础信息!H:H,"")</f>
        <v>13488828308</v>
      </c>
      <c r="N50" t="str">
        <f>_xlfn.XLOOKUP(A50,历史基础信息!A:A,历史基础信息!I:I,"")</f>
        <v>北京旭日鸿升生物技术有限公司
地址：北京市大兴区金星路12号院2号楼11层1208室
电话：010-63038802
邮编：102600
开户行：中国农业银行北京骡马市支行(103100017015)
账号：11170101040008955</v>
      </c>
      <c r="O50" t="str">
        <f>_xlfn.XLOOKUP(A50,历史基础信息!A:A,历史基础信息!J:J,"")</f>
        <v>增值税专用发票/增值税普通发票：维修费或服务费</v>
      </c>
      <c r="P50">
        <f>_xlfn.XLOOKUP(A50,历史基础信息!A:A,历史基础信息!K:K,"")</f>
        <v>0.06</v>
      </c>
    </row>
    <row r="51" spans="1:16">
      <c r="A51" s="68" t="s">
        <v>98</v>
      </c>
      <c r="B51" s="68" t="s">
        <v>99</v>
      </c>
      <c r="C51" s="68" t="s">
        <v>51</v>
      </c>
      <c r="I51" t="str">
        <f>IFERROR(_xlfn.XLOOKUP(A51,历史基础信息!$A$2:$A$52,历史基础信息!$D$2:$D$52,""),"")</f>
        <v>山东省青岛市李沧区京口路106号绿地香颂106-1室</v>
      </c>
      <c r="J51" t="str">
        <f>_xlfn.XLOOKUP(A51,历史基础信息!A:A,历史基础信息!E:E,"")</f>
        <v>0532-55670908</v>
      </c>
      <c r="K51" t="str">
        <f>_xlfn.XLOOKUP(A51,历史基础信息!A:A,历史基础信息!F:F,"")</f>
        <v>闫少强</v>
      </c>
      <c r="L51" t="str">
        <f>_xlfn.XLOOKUP(A51,历史基础信息!A:A,历史基础信息!G:G,"")</f>
        <v>taidayansq@163.com</v>
      </c>
      <c r="M51">
        <f>_xlfn.XLOOKUP(A51,历史基础信息!A:A,历史基础信息!H:H,"")</f>
        <v>18266659169</v>
      </c>
      <c r="N51" t="str">
        <f>_xlfn.XLOOKUP(A51,历史基础信息!A:A,历史基础信息!I:I,"")</f>
        <v>公司名：青岛泰达医疗器械有限公司
地 址：青岛市李沧区京口路106号绿地香颂207室
邮 编：266000  电  话：0532-55670908
开户行：中国银行股份有限公司青岛巨峰路支行
账号：228614998472</v>
      </c>
      <c r="O51" t="str">
        <f>_xlfn.XLOOKUP(A51,历史基础信息!A:A,历史基础信息!J:J,"")</f>
        <v>增值税专用发票/增值税普通发票：维修费或维护费</v>
      </c>
      <c r="P51">
        <f>_xlfn.XLOOKUP(A51,历史基础信息!A:A,历史基础信息!K:K,"")</f>
        <v>0.06</v>
      </c>
    </row>
    <row r="52" spans="1:16">
      <c r="A52" s="68" t="s">
        <v>100</v>
      </c>
      <c r="B52" s="68" t="s">
        <v>79</v>
      </c>
      <c r="C52" s="68" t="s">
        <v>26</v>
      </c>
      <c r="I52" t="str">
        <f>IFERROR(_xlfn.XLOOKUP(A52,历史基础信息!$A$2:$A$52,历史基础信息!$D$2:$D$52,""),"")</f>
        <v>云南省昆明市五华区科普路与王筇路交叉口绿地 云都会广场A地块1栋B区创海大厦18层1811室1812室</v>
      </c>
      <c r="J52" t="str">
        <f>_xlfn.XLOOKUP(A52,历史基础信息!A:A,历史基础信息!E:E,"")</f>
        <v>0871-65386168</v>
      </c>
      <c r="K52" t="str">
        <f>_xlfn.XLOOKUP(A52,历史基础信息!A:A,历史基础信息!F:F,"")</f>
        <v>罗美娥</v>
      </c>
      <c r="L52" t="str">
        <f>_xlfn.XLOOKUP(A52,历史基础信息!A:A,历史基础信息!G:G,"")</f>
        <v>13759187313@139.com</v>
      </c>
      <c r="M52">
        <f>_xlfn.XLOOKUP(A52,历史基础信息!A:A,历史基础信息!H:H,"")</f>
        <v>13759187313</v>
      </c>
      <c r="N52" t="str">
        <f>_xlfn.XLOOKUP(A52,历史基础信息!A:A,历史基础信息!I:I,"")</f>
        <v>公司名称:昆明康骐科技有限公司            税号:91530112MA6K7Q603B                开户行:中国建设银行昆明西山支行        账号:53050161633600000120               注册地址:云南省昆明市五华区科普路与王筇路交叉口绿地 云都会广场A地块1栋B区创海大厦18层1811室1812室                             电话:0871-65386168</v>
      </c>
      <c r="O52" t="str">
        <f>_xlfn.XLOOKUP(A52,历史基础信息!A:A,历史基础信息!J:J,"")</f>
        <v>增值税专用发票/增值税普通发票：维修费或维护费</v>
      </c>
      <c r="P52">
        <f>_xlfn.XLOOKUP(A52,历史基础信息!A:A,历史基础信息!K:K,"")</f>
        <v>0.03</v>
      </c>
    </row>
    <row r="53" spans="1:16">
      <c r="A53" t="s">
        <v>101</v>
      </c>
      <c r="B53" t="s">
        <v>102</v>
      </c>
      <c r="C53" t="s">
        <v>26</v>
      </c>
    </row>
  </sheetData>
  <autoFilter ref="A1:Q53" xr:uid="{00000000-0001-0000-0000-000000000000}"/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9F58-2E66-4CE1-8E8F-AF7848231BC5}">
  <dimension ref="A1:Q53"/>
  <sheetViews>
    <sheetView tabSelected="1" workbookViewId="0">
      <selection activeCell="I3" sqref="I3"/>
    </sheetView>
  </sheetViews>
  <sheetFormatPr defaultRowHeight="14.25"/>
  <cols>
    <col min="1" max="1" width="25" customWidth="1"/>
    <col min="5" max="5" width="15.875" customWidth="1"/>
    <col min="6" max="6" width="22.75" customWidth="1"/>
    <col min="14" max="14" width="44.75" customWidth="1"/>
  </cols>
  <sheetData>
    <row r="1" spans="1:17" ht="28.5">
      <c r="A1" t="s">
        <v>0</v>
      </c>
      <c r="B1" t="s">
        <v>1</v>
      </c>
      <c r="C1" t="s">
        <v>2</v>
      </c>
      <c r="D1" t="s">
        <v>3</v>
      </c>
      <c r="E1" s="6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99.75">
      <c r="A2" t="s">
        <v>17</v>
      </c>
      <c r="B2" t="s">
        <v>18</v>
      </c>
      <c r="C2" t="s">
        <v>19</v>
      </c>
      <c r="E2" s="66" t="s">
        <v>103</v>
      </c>
      <c r="F2" t="s">
        <v>104</v>
      </c>
      <c r="G2" t="s">
        <v>105</v>
      </c>
      <c r="H2" t="s">
        <v>21</v>
      </c>
      <c r="I2" t="s">
        <v>106</v>
      </c>
      <c r="J2" t="s">
        <v>107</v>
      </c>
      <c r="K2" t="s">
        <v>108</v>
      </c>
      <c r="L2" t="s">
        <v>109</v>
      </c>
      <c r="M2">
        <v>13039457336</v>
      </c>
      <c r="N2" s="62" t="s">
        <v>110</v>
      </c>
      <c r="O2" t="s">
        <v>111</v>
      </c>
      <c r="P2">
        <v>0.06</v>
      </c>
    </row>
    <row r="3" spans="1:17">
      <c r="A3" t="s">
        <v>22</v>
      </c>
      <c r="B3" t="s">
        <v>23</v>
      </c>
      <c r="C3" t="s">
        <v>19</v>
      </c>
      <c r="I3" t="s">
        <v>112</v>
      </c>
      <c r="J3" t="s">
        <v>113</v>
      </c>
      <c r="K3" t="s">
        <v>114</v>
      </c>
      <c r="L3" t="s">
        <v>115</v>
      </c>
      <c r="M3">
        <v>17797604947</v>
      </c>
      <c r="N3" t="s">
        <v>116</v>
      </c>
      <c r="O3" t="s">
        <v>117</v>
      </c>
      <c r="P3">
        <v>0.13</v>
      </c>
    </row>
    <row r="4" spans="1:17" ht="52.5" customHeight="1">
      <c r="A4" t="s">
        <v>24</v>
      </c>
      <c r="B4" t="s">
        <v>25</v>
      </c>
      <c r="C4" t="s">
        <v>26</v>
      </c>
      <c r="I4" t="s">
        <v>118</v>
      </c>
      <c r="J4" t="s">
        <v>119</v>
      </c>
      <c r="K4" t="s">
        <v>120</v>
      </c>
      <c r="L4" t="s">
        <v>121</v>
      </c>
      <c r="M4">
        <v>18782285187</v>
      </c>
      <c r="N4" t="s">
        <v>122</v>
      </c>
      <c r="O4" t="s">
        <v>123</v>
      </c>
      <c r="P4">
        <v>0.01</v>
      </c>
    </row>
    <row r="5" spans="1:17">
      <c r="A5" t="s">
        <v>27</v>
      </c>
      <c r="B5" t="s">
        <v>28</v>
      </c>
      <c r="C5" t="s">
        <v>29</v>
      </c>
      <c r="I5" t="s">
        <v>124</v>
      </c>
      <c r="J5" t="s">
        <v>125</v>
      </c>
      <c r="K5" t="s">
        <v>126</v>
      </c>
      <c r="L5" t="s">
        <v>127</v>
      </c>
      <c r="M5">
        <v>13761291149</v>
      </c>
      <c r="N5" t="s">
        <v>128</v>
      </c>
      <c r="O5" t="s">
        <v>129</v>
      </c>
      <c r="P5" t="s">
        <v>130</v>
      </c>
    </row>
    <row r="6" spans="1:17">
      <c r="A6" t="s">
        <v>30</v>
      </c>
      <c r="B6" t="s">
        <v>31</v>
      </c>
      <c r="C6" t="s">
        <v>32</v>
      </c>
      <c r="I6" t="s">
        <v>131</v>
      </c>
      <c r="J6" t="s">
        <v>132</v>
      </c>
      <c r="K6" t="s">
        <v>133</v>
      </c>
      <c r="L6" t="s">
        <v>134</v>
      </c>
      <c r="M6">
        <v>15322031002</v>
      </c>
      <c r="N6" t="s">
        <v>135</v>
      </c>
      <c r="O6" t="s">
        <v>136</v>
      </c>
      <c r="P6">
        <v>0.06</v>
      </c>
    </row>
    <row r="7" spans="1:17">
      <c r="A7" t="s">
        <v>33</v>
      </c>
      <c r="B7" t="s">
        <v>34</v>
      </c>
      <c r="C7" t="s">
        <v>29</v>
      </c>
      <c r="I7" t="s">
        <v>137</v>
      </c>
      <c r="J7" t="s">
        <v>138</v>
      </c>
      <c r="K7" t="s">
        <v>139</v>
      </c>
      <c r="L7" t="s">
        <v>140</v>
      </c>
      <c r="M7">
        <v>19071020885</v>
      </c>
      <c r="N7" t="s">
        <v>141</v>
      </c>
      <c r="O7" t="s">
        <v>142</v>
      </c>
      <c r="P7">
        <v>0.06</v>
      </c>
    </row>
    <row r="8" spans="1:17">
      <c r="A8" t="s">
        <v>35</v>
      </c>
      <c r="B8" t="s">
        <v>36</v>
      </c>
      <c r="C8" t="s">
        <v>26</v>
      </c>
      <c r="I8" t="s">
        <v>143</v>
      </c>
      <c r="J8" t="s">
        <v>144</v>
      </c>
      <c r="K8" t="s">
        <v>145</v>
      </c>
      <c r="L8" t="s">
        <v>146</v>
      </c>
      <c r="M8">
        <v>18777184023</v>
      </c>
      <c r="N8" t="s">
        <v>147</v>
      </c>
      <c r="O8" t="s">
        <v>148</v>
      </c>
      <c r="P8" t="s">
        <v>149</v>
      </c>
    </row>
    <row r="9" spans="1:17">
      <c r="A9" t="s">
        <v>37</v>
      </c>
      <c r="B9" t="s">
        <v>25</v>
      </c>
      <c r="C9" t="s">
        <v>26</v>
      </c>
      <c r="I9" t="s">
        <v>150</v>
      </c>
      <c r="J9" t="s">
        <v>151</v>
      </c>
      <c r="K9" t="s">
        <v>152</v>
      </c>
      <c r="L9" t="s">
        <v>153</v>
      </c>
      <c r="M9">
        <v>13678119175</v>
      </c>
      <c r="N9" t="s">
        <v>154</v>
      </c>
      <c r="O9" t="s">
        <v>155</v>
      </c>
      <c r="P9">
        <v>0.13</v>
      </c>
    </row>
    <row r="10" spans="1:17">
      <c r="A10" t="s">
        <v>38</v>
      </c>
      <c r="B10" t="s">
        <v>39</v>
      </c>
      <c r="C10" t="s">
        <v>19</v>
      </c>
      <c r="I10" t="s">
        <v>156</v>
      </c>
      <c r="J10" t="s">
        <v>157</v>
      </c>
      <c r="K10" t="s">
        <v>158</v>
      </c>
      <c r="L10" t="s">
        <v>159</v>
      </c>
      <c r="M10">
        <v>15003856589</v>
      </c>
      <c r="N10" t="s">
        <v>160</v>
      </c>
      <c r="O10" t="s">
        <v>161</v>
      </c>
      <c r="P10">
        <v>0.06</v>
      </c>
    </row>
    <row r="11" spans="1:17">
      <c r="A11" t="s">
        <v>40</v>
      </c>
      <c r="B11" t="s">
        <v>41</v>
      </c>
      <c r="C11" t="s">
        <v>42</v>
      </c>
      <c r="I11" t="s">
        <v>162</v>
      </c>
      <c r="J11">
        <v>15840345732</v>
      </c>
      <c r="K11" t="s">
        <v>163</v>
      </c>
      <c r="L11" t="s">
        <v>164</v>
      </c>
      <c r="M11">
        <v>15840345732</v>
      </c>
      <c r="N11" t="s">
        <v>165</v>
      </c>
      <c r="O11" t="s">
        <v>117</v>
      </c>
      <c r="P11">
        <v>0.06</v>
      </c>
    </row>
    <row r="12" spans="1:17">
      <c r="A12" t="s">
        <v>43</v>
      </c>
      <c r="B12" t="s">
        <v>44</v>
      </c>
      <c r="C12" t="s">
        <v>29</v>
      </c>
      <c r="I12" t="s">
        <v>166</v>
      </c>
      <c r="J12" t="s">
        <v>167</v>
      </c>
      <c r="K12" t="s">
        <v>168</v>
      </c>
      <c r="L12" t="s">
        <v>169</v>
      </c>
      <c r="M12">
        <v>17857071365</v>
      </c>
      <c r="N12" t="s">
        <v>170</v>
      </c>
      <c r="O12" t="s">
        <v>171</v>
      </c>
      <c r="P12">
        <v>0.06</v>
      </c>
    </row>
    <row r="13" spans="1:17">
      <c r="A13" t="s">
        <v>45</v>
      </c>
      <c r="B13" t="s">
        <v>36</v>
      </c>
      <c r="C13" t="s">
        <v>26</v>
      </c>
      <c r="I13" t="s">
        <v>172</v>
      </c>
      <c r="J13" t="s">
        <v>173</v>
      </c>
      <c r="K13" t="s">
        <v>174</v>
      </c>
      <c r="L13" t="s">
        <v>175</v>
      </c>
      <c r="M13">
        <v>19977196114</v>
      </c>
      <c r="N13" t="s">
        <v>176</v>
      </c>
      <c r="O13" t="s">
        <v>117</v>
      </c>
      <c r="P13">
        <v>0.03</v>
      </c>
    </row>
    <row r="14" spans="1:17">
      <c r="A14" t="s">
        <v>46</v>
      </c>
      <c r="B14" t="s">
        <v>39</v>
      </c>
      <c r="C14" t="s">
        <v>19</v>
      </c>
      <c r="I14" t="s">
        <v>177</v>
      </c>
      <c r="J14" t="s">
        <v>178</v>
      </c>
      <c r="K14" t="s">
        <v>179</v>
      </c>
      <c r="L14" t="s">
        <v>180</v>
      </c>
      <c r="M14">
        <v>15890058791</v>
      </c>
      <c r="N14" t="s">
        <v>181</v>
      </c>
      <c r="O14" t="s">
        <v>182</v>
      </c>
      <c r="P14">
        <v>0.06</v>
      </c>
    </row>
    <row r="15" spans="1:17">
      <c r="A15" t="s">
        <v>47</v>
      </c>
      <c r="B15" t="s">
        <v>48</v>
      </c>
      <c r="C15" t="s">
        <v>29</v>
      </c>
      <c r="I15" t="s">
        <v>183</v>
      </c>
      <c r="J15" t="s">
        <v>184</v>
      </c>
      <c r="K15" t="s">
        <v>185</v>
      </c>
      <c r="L15" t="s">
        <v>186</v>
      </c>
      <c r="M15">
        <v>18712179581</v>
      </c>
      <c r="N15" t="s">
        <v>187</v>
      </c>
      <c r="O15" t="s">
        <v>188</v>
      </c>
      <c r="P15">
        <v>0.06</v>
      </c>
    </row>
    <row r="16" spans="1:17">
      <c r="A16" t="s">
        <v>49</v>
      </c>
      <c r="B16" t="s">
        <v>50</v>
      </c>
      <c r="C16" t="s">
        <v>51</v>
      </c>
      <c r="I16" t="s">
        <v>189</v>
      </c>
      <c r="J16">
        <v>31183809982</v>
      </c>
      <c r="K16" t="s">
        <v>190</v>
      </c>
      <c r="L16" t="s">
        <v>191</v>
      </c>
      <c r="M16">
        <v>17732120400</v>
      </c>
      <c r="N16" t="s">
        <v>192</v>
      </c>
      <c r="O16" t="s">
        <v>193</v>
      </c>
      <c r="P16">
        <v>0.06</v>
      </c>
    </row>
    <row r="17" spans="1:16">
      <c r="A17" t="s">
        <v>52</v>
      </c>
      <c r="B17" t="s">
        <v>25</v>
      </c>
      <c r="C17" t="s">
        <v>26</v>
      </c>
      <c r="I17" t="s">
        <v>194</v>
      </c>
      <c r="J17">
        <v>18349375258</v>
      </c>
      <c r="K17" t="s">
        <v>195</v>
      </c>
      <c r="L17" t="s">
        <v>196</v>
      </c>
      <c r="M17">
        <v>18349375258</v>
      </c>
      <c r="N17" t="s">
        <v>197</v>
      </c>
      <c r="O17" t="s">
        <v>198</v>
      </c>
      <c r="P17">
        <v>0.06</v>
      </c>
    </row>
    <row r="18" spans="1:16">
      <c r="A18" t="s">
        <v>53</v>
      </c>
      <c r="B18" t="s">
        <v>23</v>
      </c>
      <c r="C18" t="s">
        <v>19</v>
      </c>
      <c r="I18" t="s">
        <v>199</v>
      </c>
      <c r="J18">
        <v>15379020517</v>
      </c>
      <c r="K18" t="s">
        <v>200</v>
      </c>
      <c r="L18" t="s">
        <v>201</v>
      </c>
      <c r="M18">
        <v>15379020517</v>
      </c>
      <c r="N18" t="s">
        <v>202</v>
      </c>
      <c r="O18" t="s">
        <v>111</v>
      </c>
      <c r="P18">
        <v>0.06</v>
      </c>
    </row>
    <row r="19" spans="1:16">
      <c r="A19" t="s">
        <v>54</v>
      </c>
      <c r="B19" t="s">
        <v>55</v>
      </c>
      <c r="C19" t="s">
        <v>19</v>
      </c>
      <c r="I19" t="s">
        <v>203</v>
      </c>
      <c r="J19" t="s">
        <v>204</v>
      </c>
      <c r="K19" t="s">
        <v>205</v>
      </c>
      <c r="L19" t="s">
        <v>206</v>
      </c>
      <c r="M19">
        <v>18840389808</v>
      </c>
      <c r="N19" t="s">
        <v>207</v>
      </c>
      <c r="O19" t="s">
        <v>208</v>
      </c>
      <c r="P19">
        <v>0.06</v>
      </c>
    </row>
    <row r="20" spans="1:16">
      <c r="A20" t="s">
        <v>56</v>
      </c>
      <c r="B20" t="s">
        <v>25</v>
      </c>
      <c r="C20" t="s">
        <v>26</v>
      </c>
      <c r="I20" t="s">
        <v>209</v>
      </c>
      <c r="J20" t="s">
        <v>210</v>
      </c>
      <c r="K20" t="s">
        <v>211</v>
      </c>
      <c r="L20" t="s">
        <v>212</v>
      </c>
      <c r="M20">
        <v>13550241780</v>
      </c>
      <c r="N20" t="s">
        <v>213</v>
      </c>
      <c r="O20" t="s">
        <v>123</v>
      </c>
      <c r="P20">
        <v>0.13</v>
      </c>
    </row>
    <row r="21" spans="1:16">
      <c r="A21" t="s">
        <v>57</v>
      </c>
      <c r="B21" t="s">
        <v>31</v>
      </c>
      <c r="C21" t="s">
        <v>32</v>
      </c>
      <c r="I21" t="s">
        <v>214</v>
      </c>
      <c r="J21" t="s">
        <v>215</v>
      </c>
      <c r="K21" t="s">
        <v>216</v>
      </c>
      <c r="L21" t="s">
        <v>217</v>
      </c>
      <c r="M21">
        <v>13602820901</v>
      </c>
      <c r="N21" t="s">
        <v>218</v>
      </c>
      <c r="O21" t="s">
        <v>219</v>
      </c>
      <c r="P21">
        <v>0.06</v>
      </c>
    </row>
    <row r="22" spans="1:16">
      <c r="A22" t="s">
        <v>58</v>
      </c>
      <c r="B22" t="s">
        <v>59</v>
      </c>
      <c r="C22" t="s">
        <v>42</v>
      </c>
      <c r="I22" t="s">
        <v>220</v>
      </c>
      <c r="J22" t="s">
        <v>221</v>
      </c>
      <c r="K22" t="s">
        <v>222</v>
      </c>
      <c r="L22" t="s">
        <v>223</v>
      </c>
      <c r="M22">
        <v>15584329559</v>
      </c>
      <c r="N22" t="s">
        <v>224</v>
      </c>
      <c r="O22" t="s">
        <v>225</v>
      </c>
      <c r="P22" t="s">
        <v>130</v>
      </c>
    </row>
    <row r="23" spans="1:16">
      <c r="A23" t="s">
        <v>60</v>
      </c>
      <c r="B23" t="s">
        <v>41</v>
      </c>
      <c r="C23" t="s">
        <v>42</v>
      </c>
      <c r="I23" t="s">
        <v>226</v>
      </c>
      <c r="J23" t="s">
        <v>227</v>
      </c>
      <c r="K23" t="s">
        <v>228</v>
      </c>
      <c r="L23" t="s">
        <v>229</v>
      </c>
      <c r="M23">
        <v>18741035493</v>
      </c>
      <c r="N23" t="s">
        <v>230</v>
      </c>
      <c r="O23" t="s">
        <v>117</v>
      </c>
      <c r="P23">
        <v>0.06</v>
      </c>
    </row>
    <row r="24" spans="1:16">
      <c r="A24" t="s">
        <v>61</v>
      </c>
      <c r="B24" t="s">
        <v>41</v>
      </c>
      <c r="C24" t="s">
        <v>42</v>
      </c>
      <c r="I24" t="s">
        <v>231</v>
      </c>
      <c r="J24" t="s">
        <v>232</v>
      </c>
      <c r="K24" t="s">
        <v>233</v>
      </c>
      <c r="L24" t="s">
        <v>234</v>
      </c>
      <c r="M24">
        <v>13130478603</v>
      </c>
      <c r="N24" t="s">
        <v>235</v>
      </c>
      <c r="O24" t="s">
        <v>117</v>
      </c>
      <c r="P24">
        <v>0.13</v>
      </c>
    </row>
    <row r="25" spans="1:16">
      <c r="A25" t="s">
        <v>62</v>
      </c>
      <c r="B25" t="s">
        <v>44</v>
      </c>
      <c r="C25" t="s">
        <v>29</v>
      </c>
      <c r="I25" t="s">
        <v>236</v>
      </c>
      <c r="J25">
        <v>15067157785</v>
      </c>
      <c r="K25" t="s">
        <v>237</v>
      </c>
      <c r="L25" t="s">
        <v>238</v>
      </c>
      <c r="M25">
        <v>15067157785</v>
      </c>
      <c r="N25" t="s">
        <v>239</v>
      </c>
      <c r="O25" t="s">
        <v>188</v>
      </c>
      <c r="P25">
        <v>0.06</v>
      </c>
    </row>
    <row r="26" spans="1:16">
      <c r="A26" t="s">
        <v>63</v>
      </c>
      <c r="B26" t="s">
        <v>64</v>
      </c>
      <c r="C26" t="s">
        <v>51</v>
      </c>
      <c r="I26" t="s">
        <v>240</v>
      </c>
      <c r="J26">
        <v>13311118969</v>
      </c>
      <c r="K26" t="s">
        <v>241</v>
      </c>
      <c r="L26" t="s">
        <v>242</v>
      </c>
      <c r="M26">
        <v>13311118969</v>
      </c>
      <c r="N26" t="s">
        <v>243</v>
      </c>
      <c r="O26" t="s">
        <v>244</v>
      </c>
      <c r="P26">
        <v>0.06</v>
      </c>
    </row>
    <row r="27" spans="1:16">
      <c r="A27" t="s">
        <v>65</v>
      </c>
      <c r="B27" t="s">
        <v>50</v>
      </c>
      <c r="C27" t="s">
        <v>51</v>
      </c>
      <c r="I27" t="s">
        <v>245</v>
      </c>
      <c r="J27" t="s">
        <v>213</v>
      </c>
      <c r="K27" t="s">
        <v>246</v>
      </c>
      <c r="L27" t="s">
        <v>247</v>
      </c>
      <c r="M27">
        <v>18716075943</v>
      </c>
      <c r="N27" t="s">
        <v>248</v>
      </c>
      <c r="O27" t="s">
        <v>117</v>
      </c>
      <c r="P27">
        <v>0.03</v>
      </c>
    </row>
    <row r="28" spans="1:16">
      <c r="A28" t="s">
        <v>66</v>
      </c>
      <c r="B28" t="s">
        <v>67</v>
      </c>
      <c r="C28" t="s">
        <v>32</v>
      </c>
      <c r="I28" t="s">
        <v>249</v>
      </c>
      <c r="J28" t="s">
        <v>250</v>
      </c>
      <c r="K28" t="s">
        <v>251</v>
      </c>
      <c r="L28" t="s">
        <v>252</v>
      </c>
      <c r="M28">
        <v>13870966433</v>
      </c>
      <c r="N28" t="s">
        <v>253</v>
      </c>
      <c r="O28" t="s">
        <v>117</v>
      </c>
      <c r="P28" t="s">
        <v>213</v>
      </c>
    </row>
    <row r="29" spans="1:16">
      <c r="A29" t="s">
        <v>68</v>
      </c>
      <c r="B29" t="s">
        <v>69</v>
      </c>
      <c r="C29" t="s">
        <v>32</v>
      </c>
      <c r="I29" t="s">
        <v>254</v>
      </c>
      <c r="J29" t="s">
        <v>255</v>
      </c>
      <c r="K29" t="s">
        <v>256</v>
      </c>
      <c r="L29" t="s">
        <v>257</v>
      </c>
      <c r="M29">
        <v>13574115681</v>
      </c>
      <c r="N29" t="s">
        <v>258</v>
      </c>
      <c r="O29" t="s">
        <v>111</v>
      </c>
      <c r="P29">
        <v>0.06</v>
      </c>
    </row>
    <row r="30" spans="1:16">
      <c r="A30" t="s">
        <v>70</v>
      </c>
      <c r="B30" t="s">
        <v>71</v>
      </c>
      <c r="C30" t="s">
        <v>32</v>
      </c>
      <c r="I30" t="s">
        <v>259</v>
      </c>
      <c r="J30" t="s">
        <v>260</v>
      </c>
      <c r="K30" t="s">
        <v>261</v>
      </c>
      <c r="L30" t="s">
        <v>262</v>
      </c>
      <c r="M30">
        <v>13876685747</v>
      </c>
      <c r="N30" t="s">
        <v>263</v>
      </c>
      <c r="O30" t="s">
        <v>129</v>
      </c>
      <c r="P30">
        <v>0.13</v>
      </c>
    </row>
    <row r="31" spans="1:16">
      <c r="A31" t="s">
        <v>72</v>
      </c>
      <c r="B31" t="s">
        <v>73</v>
      </c>
      <c r="C31" t="s">
        <v>32</v>
      </c>
      <c r="I31" t="s">
        <v>264</v>
      </c>
      <c r="J31" t="s">
        <v>265</v>
      </c>
      <c r="K31" t="s">
        <v>266</v>
      </c>
      <c r="L31" t="s">
        <v>267</v>
      </c>
      <c r="M31">
        <v>18123650463</v>
      </c>
      <c r="N31" t="s">
        <v>268</v>
      </c>
      <c r="O31" t="s">
        <v>269</v>
      </c>
      <c r="P31">
        <v>0.06</v>
      </c>
    </row>
    <row r="32" spans="1:16">
      <c r="A32" t="s">
        <v>74</v>
      </c>
      <c r="B32" t="s">
        <v>75</v>
      </c>
      <c r="C32" t="s">
        <v>51</v>
      </c>
      <c r="I32" t="s">
        <v>270</v>
      </c>
      <c r="J32" t="s">
        <v>271</v>
      </c>
      <c r="K32" t="s">
        <v>272</v>
      </c>
      <c r="L32" t="s">
        <v>273</v>
      </c>
      <c r="M32">
        <v>18660812091</v>
      </c>
      <c r="N32" t="s">
        <v>274</v>
      </c>
      <c r="O32" t="s">
        <v>275</v>
      </c>
      <c r="P32">
        <v>0.06</v>
      </c>
    </row>
    <row r="33" spans="1:16">
      <c r="A33" t="s">
        <v>76</v>
      </c>
      <c r="B33" t="s">
        <v>77</v>
      </c>
      <c r="C33" t="s">
        <v>42</v>
      </c>
      <c r="I33" t="s">
        <v>276</v>
      </c>
      <c r="J33">
        <v>13847134917</v>
      </c>
      <c r="K33" t="s">
        <v>277</v>
      </c>
      <c r="L33" t="s">
        <v>278</v>
      </c>
      <c r="M33">
        <v>15148213495</v>
      </c>
      <c r="N33" t="s">
        <v>279</v>
      </c>
      <c r="O33" t="s">
        <v>117</v>
      </c>
      <c r="P33">
        <v>0.03</v>
      </c>
    </row>
    <row r="34" spans="1:16">
      <c r="A34" t="s">
        <v>78</v>
      </c>
      <c r="B34" t="s">
        <v>79</v>
      </c>
      <c r="C34" t="s">
        <v>26</v>
      </c>
      <c r="I34" t="s">
        <v>280</v>
      </c>
      <c r="J34" t="s">
        <v>281</v>
      </c>
      <c r="K34" t="s">
        <v>282</v>
      </c>
      <c r="L34" t="s">
        <v>283</v>
      </c>
      <c r="M34">
        <v>13888203183</v>
      </c>
      <c r="N34" t="s">
        <v>284</v>
      </c>
      <c r="O34" t="s">
        <v>117</v>
      </c>
      <c r="P34">
        <v>0.13</v>
      </c>
    </row>
    <row r="35" spans="1:16">
      <c r="A35" t="s">
        <v>80</v>
      </c>
      <c r="B35" t="s">
        <v>25</v>
      </c>
      <c r="C35" t="s">
        <v>26</v>
      </c>
      <c r="I35" t="s">
        <v>285</v>
      </c>
      <c r="J35" t="s">
        <v>286</v>
      </c>
      <c r="K35" t="s">
        <v>287</v>
      </c>
      <c r="L35" t="s">
        <v>288</v>
      </c>
      <c r="M35">
        <v>15823546260</v>
      </c>
      <c r="N35" t="s">
        <v>289</v>
      </c>
      <c r="O35" t="s">
        <v>117</v>
      </c>
      <c r="P35">
        <v>0.13</v>
      </c>
    </row>
    <row r="36" spans="1:16">
      <c r="A36" t="s">
        <v>81</v>
      </c>
      <c r="B36" t="s">
        <v>82</v>
      </c>
      <c r="C36" t="s">
        <v>29</v>
      </c>
      <c r="I36" t="s">
        <v>290</v>
      </c>
      <c r="J36" t="s">
        <v>291</v>
      </c>
      <c r="K36" t="s">
        <v>292</v>
      </c>
      <c r="L36" t="s">
        <v>293</v>
      </c>
      <c r="M36">
        <v>13913040353</v>
      </c>
      <c r="N36" t="s">
        <v>294</v>
      </c>
      <c r="O36" t="s">
        <v>295</v>
      </c>
      <c r="P36">
        <v>0.03</v>
      </c>
    </row>
    <row r="37" spans="1:16">
      <c r="A37" t="s">
        <v>83</v>
      </c>
      <c r="B37" t="s">
        <v>39</v>
      </c>
      <c r="C37" t="s">
        <v>19</v>
      </c>
      <c r="I37" t="s">
        <v>296</v>
      </c>
      <c r="J37" t="s">
        <v>297</v>
      </c>
      <c r="K37" t="s">
        <v>298</v>
      </c>
      <c r="L37" t="s">
        <v>299</v>
      </c>
      <c r="M37">
        <v>18614962807</v>
      </c>
      <c r="N37" t="s">
        <v>300</v>
      </c>
      <c r="O37" t="s">
        <v>301</v>
      </c>
      <c r="P37">
        <v>0.06</v>
      </c>
    </row>
    <row r="38" spans="1:16">
      <c r="A38" t="s">
        <v>84</v>
      </c>
      <c r="B38" t="s">
        <v>41</v>
      </c>
      <c r="C38" t="s">
        <v>42</v>
      </c>
      <c r="I38" t="s">
        <v>302</v>
      </c>
      <c r="J38" t="s">
        <v>303</v>
      </c>
      <c r="K38" t="s">
        <v>304</v>
      </c>
      <c r="L38" t="s">
        <v>305</v>
      </c>
      <c r="M38">
        <v>15998351074</v>
      </c>
      <c r="N38" t="s">
        <v>306</v>
      </c>
      <c r="O38" t="s">
        <v>117</v>
      </c>
      <c r="P38">
        <v>0.13</v>
      </c>
    </row>
    <row r="39" spans="1:16">
      <c r="A39" t="s">
        <v>85</v>
      </c>
      <c r="B39" t="s">
        <v>48</v>
      </c>
      <c r="C39" t="s">
        <v>29</v>
      </c>
      <c r="I39" t="s">
        <v>307</v>
      </c>
      <c r="J39" t="s">
        <v>308</v>
      </c>
      <c r="K39" t="s">
        <v>309</v>
      </c>
      <c r="L39" t="s">
        <v>310</v>
      </c>
      <c r="M39">
        <v>17333079798</v>
      </c>
      <c r="N39" t="s">
        <v>311</v>
      </c>
      <c r="O39" t="s">
        <v>123</v>
      </c>
      <c r="P39">
        <v>0.13</v>
      </c>
    </row>
    <row r="40" spans="1:16">
      <c r="A40" t="s">
        <v>86</v>
      </c>
      <c r="B40" t="s">
        <v>67</v>
      </c>
      <c r="C40" t="s">
        <v>32</v>
      </c>
      <c r="I40" t="s">
        <v>312</v>
      </c>
      <c r="J40">
        <v>18870083757</v>
      </c>
      <c r="K40" t="s">
        <v>313</v>
      </c>
      <c r="L40" t="s">
        <v>314</v>
      </c>
      <c r="M40">
        <v>18870083757</v>
      </c>
      <c r="N40" t="s">
        <v>315</v>
      </c>
      <c r="O40" t="s">
        <v>117</v>
      </c>
      <c r="P40">
        <v>0.13</v>
      </c>
    </row>
    <row r="41" spans="1:16">
      <c r="A41" t="s">
        <v>87</v>
      </c>
      <c r="B41" t="s">
        <v>55</v>
      </c>
      <c r="C41" t="s">
        <v>19</v>
      </c>
      <c r="I41" t="s">
        <v>316</v>
      </c>
      <c r="J41" t="s">
        <v>317</v>
      </c>
      <c r="K41" t="s">
        <v>318</v>
      </c>
      <c r="L41" t="s">
        <v>319</v>
      </c>
      <c r="M41">
        <v>18729109671</v>
      </c>
      <c r="N41" t="s">
        <v>320</v>
      </c>
      <c r="O41" t="s">
        <v>321</v>
      </c>
      <c r="P41">
        <v>0.06</v>
      </c>
    </row>
    <row r="42" spans="1:16">
      <c r="A42" t="s">
        <v>88</v>
      </c>
      <c r="B42" t="s">
        <v>41</v>
      </c>
      <c r="C42" t="s">
        <v>42</v>
      </c>
      <c r="I42" t="s">
        <v>322</v>
      </c>
      <c r="J42">
        <v>13940162937</v>
      </c>
      <c r="K42" t="s">
        <v>323</v>
      </c>
      <c r="L42" t="s">
        <v>324</v>
      </c>
      <c r="M42">
        <v>13940162937</v>
      </c>
      <c r="N42" t="s">
        <v>325</v>
      </c>
      <c r="O42" t="s">
        <v>117</v>
      </c>
      <c r="P42">
        <v>0.03</v>
      </c>
    </row>
    <row r="43" spans="1:16">
      <c r="A43" t="s">
        <v>89</v>
      </c>
      <c r="B43" t="s">
        <v>31</v>
      </c>
      <c r="C43" t="s">
        <v>32</v>
      </c>
      <c r="I43" t="s">
        <v>326</v>
      </c>
      <c r="J43" t="s">
        <v>327</v>
      </c>
      <c r="K43" t="s">
        <v>328</v>
      </c>
      <c r="L43" t="s">
        <v>329</v>
      </c>
      <c r="M43">
        <v>13664948125</v>
      </c>
      <c r="N43" t="s">
        <v>330</v>
      </c>
      <c r="O43" t="s">
        <v>111</v>
      </c>
      <c r="P43">
        <v>0.06</v>
      </c>
    </row>
    <row r="44" spans="1:16">
      <c r="A44" t="s">
        <v>90</v>
      </c>
      <c r="B44" t="s">
        <v>67</v>
      </c>
      <c r="C44" t="s">
        <v>32</v>
      </c>
      <c r="I44" t="s">
        <v>331</v>
      </c>
      <c r="J44">
        <v>13330098353</v>
      </c>
      <c r="K44" t="s">
        <v>332</v>
      </c>
      <c r="L44" t="s">
        <v>333</v>
      </c>
      <c r="M44">
        <v>18079123790</v>
      </c>
      <c r="N44" t="s">
        <v>334</v>
      </c>
      <c r="O44" t="s">
        <v>171</v>
      </c>
      <c r="P44">
        <v>0.06</v>
      </c>
    </row>
    <row r="45" spans="1:16">
      <c r="A45" t="s">
        <v>91</v>
      </c>
      <c r="B45" t="s">
        <v>31</v>
      </c>
      <c r="C45" t="s">
        <v>32</v>
      </c>
      <c r="I45" t="s">
        <v>335</v>
      </c>
      <c r="J45" t="s">
        <v>336</v>
      </c>
      <c r="K45" t="s">
        <v>337</v>
      </c>
      <c r="L45" t="s">
        <v>338</v>
      </c>
      <c r="M45">
        <v>18142804355</v>
      </c>
      <c r="N45" t="s">
        <v>339</v>
      </c>
      <c r="O45" t="s">
        <v>117</v>
      </c>
      <c r="P45">
        <v>0.03</v>
      </c>
    </row>
    <row r="46" spans="1:16">
      <c r="A46" t="s">
        <v>92</v>
      </c>
      <c r="B46" t="s">
        <v>64</v>
      </c>
      <c r="C46" t="s">
        <v>51</v>
      </c>
      <c r="I46" t="s">
        <v>340</v>
      </c>
      <c r="J46" t="s">
        <v>341</v>
      </c>
      <c r="K46" t="s">
        <v>342</v>
      </c>
      <c r="L46" t="s">
        <v>343</v>
      </c>
      <c r="M46">
        <v>15801503575</v>
      </c>
      <c r="N46" t="s">
        <v>344</v>
      </c>
      <c r="O46" t="s">
        <v>345</v>
      </c>
      <c r="P46">
        <v>0.03</v>
      </c>
    </row>
    <row r="47" spans="1:16">
      <c r="A47" t="s">
        <v>93</v>
      </c>
      <c r="B47" t="s">
        <v>55</v>
      </c>
      <c r="C47" t="s">
        <v>19</v>
      </c>
      <c r="I47" t="s">
        <v>346</v>
      </c>
      <c r="J47" t="s">
        <v>347</v>
      </c>
      <c r="K47" t="s">
        <v>348</v>
      </c>
      <c r="L47" t="s">
        <v>349</v>
      </c>
      <c r="M47">
        <v>13571085656</v>
      </c>
      <c r="N47" t="s">
        <v>350</v>
      </c>
      <c r="O47" t="s">
        <v>117</v>
      </c>
      <c r="P47">
        <v>0.13</v>
      </c>
    </row>
    <row r="48" spans="1:16">
      <c r="A48" t="s">
        <v>94</v>
      </c>
      <c r="B48" t="s">
        <v>95</v>
      </c>
      <c r="C48" t="s">
        <v>42</v>
      </c>
      <c r="I48" t="s">
        <v>351</v>
      </c>
      <c r="J48" t="s">
        <v>213</v>
      </c>
      <c r="K48" t="s">
        <v>352</v>
      </c>
      <c r="L48" t="s">
        <v>353</v>
      </c>
      <c r="M48">
        <v>18645122699</v>
      </c>
      <c r="N48" t="s">
        <v>354</v>
      </c>
      <c r="O48" t="s">
        <v>213</v>
      </c>
      <c r="P48" t="s">
        <v>213</v>
      </c>
    </row>
    <row r="49" spans="1:16">
      <c r="A49" t="s">
        <v>96</v>
      </c>
      <c r="B49" t="s">
        <v>67</v>
      </c>
      <c r="C49" t="s">
        <v>32</v>
      </c>
      <c r="I49" t="s">
        <v>355</v>
      </c>
      <c r="J49" t="s">
        <v>213</v>
      </c>
      <c r="K49" t="s">
        <v>356</v>
      </c>
      <c r="L49" t="s">
        <v>357</v>
      </c>
      <c r="M49">
        <v>13687911089</v>
      </c>
      <c r="N49" t="s">
        <v>358</v>
      </c>
      <c r="O49" t="s">
        <v>117</v>
      </c>
      <c r="P49">
        <v>0.13</v>
      </c>
    </row>
    <row r="50" spans="1:16">
      <c r="A50" t="s">
        <v>97</v>
      </c>
      <c r="B50" t="s">
        <v>64</v>
      </c>
      <c r="C50" t="s">
        <v>51</v>
      </c>
      <c r="I50" t="s">
        <v>359</v>
      </c>
      <c r="J50" t="s">
        <v>360</v>
      </c>
      <c r="K50" t="s">
        <v>361</v>
      </c>
      <c r="L50" t="s">
        <v>362</v>
      </c>
      <c r="M50">
        <v>13488828308</v>
      </c>
      <c r="N50" t="s">
        <v>363</v>
      </c>
      <c r="O50" t="s">
        <v>364</v>
      </c>
      <c r="P50">
        <v>0.06</v>
      </c>
    </row>
    <row r="51" spans="1:16">
      <c r="A51" t="s">
        <v>98</v>
      </c>
      <c r="B51" t="s">
        <v>99</v>
      </c>
      <c r="C51" t="s">
        <v>51</v>
      </c>
      <c r="I51" t="s">
        <v>365</v>
      </c>
      <c r="J51" t="s">
        <v>366</v>
      </c>
      <c r="K51" t="s">
        <v>367</v>
      </c>
      <c r="L51" t="s">
        <v>368</v>
      </c>
      <c r="M51">
        <v>18266659169</v>
      </c>
      <c r="N51" t="s">
        <v>369</v>
      </c>
      <c r="O51" t="s">
        <v>117</v>
      </c>
      <c r="P51">
        <v>0.06</v>
      </c>
    </row>
    <row r="52" spans="1:16">
      <c r="A52" t="s">
        <v>100</v>
      </c>
      <c r="B52" t="s">
        <v>79</v>
      </c>
      <c r="C52" t="s">
        <v>26</v>
      </c>
      <c r="I52" t="s">
        <v>370</v>
      </c>
      <c r="J52" t="s">
        <v>371</v>
      </c>
      <c r="K52" t="s">
        <v>372</v>
      </c>
      <c r="L52" t="s">
        <v>373</v>
      </c>
      <c r="M52">
        <v>13759187313</v>
      </c>
      <c r="N52" t="s">
        <v>374</v>
      </c>
      <c r="O52" t="s">
        <v>117</v>
      </c>
      <c r="P52">
        <v>0.03</v>
      </c>
    </row>
    <row r="53" spans="1:16">
      <c r="A53" t="s">
        <v>101</v>
      </c>
      <c r="B53" t="s">
        <v>102</v>
      </c>
      <c r="C53" t="s">
        <v>26</v>
      </c>
    </row>
  </sheetData>
  <autoFilter ref="A1:Q53" xr:uid="{F5DA9F58-2E66-4CE1-8E8F-AF7848231BC5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D81E-A99B-4C58-9E77-5D26EFE8743B}">
  <sheetPr>
    <tabColor rgb="FFC00000"/>
  </sheetPr>
  <dimension ref="B1:I151"/>
  <sheetViews>
    <sheetView workbookViewId="0">
      <selection activeCell="B14" sqref="B14"/>
    </sheetView>
  </sheetViews>
  <sheetFormatPr defaultRowHeight="14.25"/>
  <cols>
    <col min="2" max="2" width="27" customWidth="1"/>
    <col min="3" max="3" width="46.75" customWidth="1"/>
    <col min="4" max="4" width="22.75" customWidth="1"/>
    <col min="5" max="9" width="21.625" bestFit="1" customWidth="1"/>
  </cols>
  <sheetData>
    <row r="1" spans="2:9" ht="16.5">
      <c r="B1" s="31" t="s">
        <v>0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</row>
    <row r="2" spans="2:9" ht="16.5">
      <c r="B2" s="32" t="s">
        <v>83</v>
      </c>
      <c r="C2" s="4" t="s">
        <v>382</v>
      </c>
      <c r="D2" s="32" t="s">
        <v>383</v>
      </c>
      <c r="E2" s="4" t="s">
        <v>384</v>
      </c>
      <c r="F2" s="32"/>
      <c r="G2" s="4"/>
    </row>
    <row r="3" spans="2:9" ht="16.5">
      <c r="B3" s="32" t="s">
        <v>43</v>
      </c>
      <c r="C3" s="4" t="s">
        <v>385</v>
      </c>
      <c r="D3" s="32" t="s">
        <v>386</v>
      </c>
      <c r="E3" s="4" t="s">
        <v>387</v>
      </c>
      <c r="F3" s="32" t="s">
        <v>388</v>
      </c>
      <c r="G3" s="4"/>
    </row>
    <row r="4" spans="2:9" ht="16.5">
      <c r="B4" s="32" t="s">
        <v>43</v>
      </c>
      <c r="C4" s="4" t="s">
        <v>389</v>
      </c>
      <c r="D4" s="32" t="s">
        <v>390</v>
      </c>
      <c r="E4" s="4"/>
      <c r="F4" s="32"/>
      <c r="G4" s="4"/>
    </row>
    <row r="5" spans="2:9" ht="16.5">
      <c r="B5" s="32" t="s">
        <v>43</v>
      </c>
      <c r="C5" s="4" t="s">
        <v>391</v>
      </c>
      <c r="D5" s="32" t="s">
        <v>392</v>
      </c>
      <c r="E5" s="4" t="s">
        <v>393</v>
      </c>
      <c r="F5" s="32" t="s">
        <v>394</v>
      </c>
      <c r="G5" s="4" t="s">
        <v>395</v>
      </c>
    </row>
    <row r="6" spans="2:9" ht="16.5">
      <c r="B6" s="32" t="s">
        <v>43</v>
      </c>
      <c r="C6" s="4" t="s">
        <v>396</v>
      </c>
      <c r="D6" s="32" t="s">
        <v>397</v>
      </c>
      <c r="E6" s="4"/>
      <c r="F6" s="32"/>
      <c r="G6" s="4"/>
    </row>
    <row r="7" spans="2:9" ht="16.5">
      <c r="B7" s="32" t="s">
        <v>17</v>
      </c>
      <c r="C7" s="4" t="s">
        <v>389</v>
      </c>
      <c r="D7" s="32"/>
      <c r="E7" s="4"/>
      <c r="F7" s="32"/>
      <c r="G7" s="4"/>
    </row>
    <row r="8" spans="2:9" ht="16.5">
      <c r="B8" s="32" t="s">
        <v>17</v>
      </c>
      <c r="C8" s="4" t="s">
        <v>385</v>
      </c>
      <c r="D8" s="32"/>
      <c r="E8" s="4"/>
      <c r="F8" s="32"/>
      <c r="G8" s="4"/>
    </row>
    <row r="9" spans="2:9" ht="16.5">
      <c r="B9" s="32" t="s">
        <v>17</v>
      </c>
      <c r="C9" s="4" t="s">
        <v>398</v>
      </c>
      <c r="D9" s="32" t="s">
        <v>399</v>
      </c>
      <c r="E9" s="4"/>
      <c r="F9" s="32"/>
      <c r="G9" s="4"/>
    </row>
    <row r="10" spans="2:9" ht="16.5">
      <c r="B10" s="32" t="s">
        <v>17</v>
      </c>
      <c r="C10" s="4" t="s">
        <v>400</v>
      </c>
      <c r="D10" s="32"/>
      <c r="E10" s="4"/>
      <c r="F10" s="32"/>
      <c r="G10" s="4"/>
    </row>
    <row r="11" spans="2:9" ht="16.5">
      <c r="B11" s="32" t="s">
        <v>17</v>
      </c>
      <c r="C11" s="4" t="s">
        <v>396</v>
      </c>
      <c r="D11" s="32" t="s">
        <v>401</v>
      </c>
      <c r="E11" s="4"/>
      <c r="F11" s="32"/>
      <c r="G11" s="4"/>
    </row>
    <row r="12" spans="2:9" ht="16.5">
      <c r="B12" s="32" t="s">
        <v>17</v>
      </c>
      <c r="C12" s="4" t="s">
        <v>402</v>
      </c>
      <c r="D12" s="32" t="s">
        <v>403</v>
      </c>
      <c r="E12" s="4"/>
      <c r="F12" s="32"/>
      <c r="G12" s="4"/>
    </row>
    <row r="13" spans="2:9" ht="16.5">
      <c r="B13" s="32" t="s">
        <v>17</v>
      </c>
      <c r="C13" s="4" t="s">
        <v>391</v>
      </c>
      <c r="D13" s="32" t="s">
        <v>404</v>
      </c>
      <c r="E13" s="4"/>
      <c r="F13" s="32"/>
      <c r="G13" s="4"/>
    </row>
    <row r="14" spans="2:9" ht="16.5">
      <c r="B14" s="32" t="s">
        <v>54</v>
      </c>
      <c r="C14" s="4" t="s">
        <v>405</v>
      </c>
      <c r="D14" s="32" t="s">
        <v>406</v>
      </c>
      <c r="E14" s="4" t="s">
        <v>205</v>
      </c>
      <c r="F14" s="32"/>
      <c r="G14" s="4"/>
    </row>
    <row r="15" spans="2:9" ht="16.5">
      <c r="B15" s="32" t="s">
        <v>52</v>
      </c>
      <c r="C15" s="4" t="s">
        <v>407</v>
      </c>
      <c r="D15" s="32" t="s">
        <v>408</v>
      </c>
      <c r="E15" s="4" t="s">
        <v>409</v>
      </c>
      <c r="F15" s="32"/>
      <c r="G15" s="4"/>
    </row>
    <row r="16" spans="2:9" ht="16.5">
      <c r="B16" s="32" t="s">
        <v>52</v>
      </c>
      <c r="C16" s="4" t="s">
        <v>410</v>
      </c>
      <c r="D16" s="32" t="s">
        <v>411</v>
      </c>
      <c r="E16" s="4" t="s">
        <v>412</v>
      </c>
      <c r="F16" s="32"/>
      <c r="G16" s="4"/>
    </row>
    <row r="17" spans="2:7" ht="16.5">
      <c r="B17" s="32" t="s">
        <v>52</v>
      </c>
      <c r="C17" s="4" t="s">
        <v>396</v>
      </c>
      <c r="D17" s="32" t="s">
        <v>413</v>
      </c>
      <c r="E17" s="4"/>
      <c r="F17" s="32"/>
      <c r="G17" s="4"/>
    </row>
    <row r="18" spans="2:7" ht="16.5">
      <c r="B18" s="32" t="s">
        <v>56</v>
      </c>
      <c r="C18" s="4" t="s">
        <v>382</v>
      </c>
      <c r="D18" s="32" t="s">
        <v>414</v>
      </c>
      <c r="E18" s="4"/>
      <c r="F18" s="32"/>
      <c r="G18" s="4"/>
    </row>
    <row r="19" spans="2:7" ht="16.5">
      <c r="B19" s="32" t="s">
        <v>37</v>
      </c>
      <c r="C19" s="4" t="s">
        <v>385</v>
      </c>
      <c r="D19" s="32" t="s">
        <v>415</v>
      </c>
      <c r="E19" s="4" t="s">
        <v>416</v>
      </c>
      <c r="F19" s="32"/>
      <c r="G19" s="4"/>
    </row>
    <row r="20" spans="2:7" ht="16.5">
      <c r="B20" s="32" t="s">
        <v>37</v>
      </c>
      <c r="C20" s="4" t="s">
        <v>389</v>
      </c>
      <c r="D20" s="32" t="s">
        <v>417</v>
      </c>
      <c r="E20" s="4"/>
      <c r="F20" s="32"/>
      <c r="G20" s="4"/>
    </row>
    <row r="21" spans="2:7" ht="16.5">
      <c r="B21" s="32" t="s">
        <v>37</v>
      </c>
      <c r="C21" s="4" t="s">
        <v>418</v>
      </c>
      <c r="D21" s="32" t="s">
        <v>419</v>
      </c>
      <c r="E21" s="4" t="s">
        <v>417</v>
      </c>
      <c r="F21" s="32"/>
      <c r="G21" s="4"/>
    </row>
    <row r="22" spans="2:7" ht="16.5">
      <c r="B22" s="32" t="s">
        <v>37</v>
      </c>
      <c r="C22" s="4" t="s">
        <v>391</v>
      </c>
      <c r="D22" s="32" t="s">
        <v>420</v>
      </c>
      <c r="E22" s="4" t="s">
        <v>421</v>
      </c>
      <c r="F22" s="32" t="s">
        <v>422</v>
      </c>
      <c r="G22" s="4"/>
    </row>
    <row r="23" spans="2:7" ht="16.5">
      <c r="B23" s="32" t="s">
        <v>87</v>
      </c>
      <c r="C23" s="4" t="s">
        <v>398</v>
      </c>
      <c r="D23" s="32" t="s">
        <v>423</v>
      </c>
      <c r="E23" s="4"/>
      <c r="F23" s="32"/>
      <c r="G23" s="4"/>
    </row>
    <row r="24" spans="2:7" ht="16.5">
      <c r="B24" s="32" t="s">
        <v>87</v>
      </c>
      <c r="C24" s="4" t="s">
        <v>391</v>
      </c>
      <c r="D24" s="32" t="s">
        <v>424</v>
      </c>
      <c r="E24" s="4" t="s">
        <v>425</v>
      </c>
      <c r="F24" s="32"/>
      <c r="G24" s="4"/>
    </row>
    <row r="25" spans="2:7" ht="16.5">
      <c r="B25" s="32" t="s">
        <v>87</v>
      </c>
      <c r="C25" s="4" t="s">
        <v>410</v>
      </c>
      <c r="D25" s="32"/>
      <c r="E25" s="4"/>
      <c r="F25" s="32"/>
      <c r="G25" s="4"/>
    </row>
    <row r="26" spans="2:7" ht="16.5">
      <c r="B26" s="32" t="s">
        <v>87</v>
      </c>
      <c r="C26" s="4" t="s">
        <v>402</v>
      </c>
      <c r="D26" s="32" t="s">
        <v>426</v>
      </c>
      <c r="E26" s="4"/>
      <c r="F26" s="32"/>
      <c r="G26" s="4"/>
    </row>
    <row r="27" spans="2:7" ht="16.5">
      <c r="B27" s="32" t="s">
        <v>87</v>
      </c>
      <c r="C27" s="4" t="s">
        <v>396</v>
      </c>
      <c r="D27" s="32" t="s">
        <v>318</v>
      </c>
      <c r="E27" s="4" t="s">
        <v>427</v>
      </c>
      <c r="F27" s="32"/>
      <c r="G27" s="4"/>
    </row>
    <row r="28" spans="2:7" ht="16.5">
      <c r="B28" s="32" t="s">
        <v>87</v>
      </c>
      <c r="C28" s="4" t="s">
        <v>389</v>
      </c>
      <c r="D28" s="32" t="s">
        <v>428</v>
      </c>
      <c r="E28" s="4"/>
      <c r="F28" s="32"/>
      <c r="G28" s="4"/>
    </row>
    <row r="29" spans="2:7" ht="16.5">
      <c r="B29" s="32" t="s">
        <v>87</v>
      </c>
      <c r="C29" s="4" t="s">
        <v>385</v>
      </c>
      <c r="D29" s="32" t="s">
        <v>428</v>
      </c>
      <c r="E29" s="4"/>
      <c r="F29" s="32"/>
      <c r="G29" s="4"/>
    </row>
    <row r="30" spans="2:7" ht="16.5">
      <c r="B30" s="32" t="s">
        <v>93</v>
      </c>
      <c r="C30" s="4" t="s">
        <v>429</v>
      </c>
      <c r="D30" s="32" t="s">
        <v>430</v>
      </c>
      <c r="E30" s="4"/>
      <c r="F30" s="32"/>
      <c r="G30" s="4"/>
    </row>
    <row r="31" spans="2:7" ht="16.5">
      <c r="B31" s="32" t="s">
        <v>81</v>
      </c>
      <c r="C31" s="4" t="s">
        <v>431</v>
      </c>
      <c r="D31" s="32" t="s">
        <v>432</v>
      </c>
      <c r="E31" s="4" t="s">
        <v>433</v>
      </c>
      <c r="F31" s="32" t="s">
        <v>434</v>
      </c>
      <c r="G31" s="4"/>
    </row>
    <row r="32" spans="2:7" ht="16.5">
      <c r="B32" s="32" t="s">
        <v>81</v>
      </c>
      <c r="C32" s="4" t="s">
        <v>435</v>
      </c>
      <c r="D32" s="32" t="s">
        <v>432</v>
      </c>
      <c r="E32" s="4" t="s">
        <v>433</v>
      </c>
      <c r="F32" s="32"/>
      <c r="G32" s="4"/>
    </row>
    <row r="33" spans="2:7" ht="16.5">
      <c r="B33" s="32" t="s">
        <v>81</v>
      </c>
      <c r="C33" s="4" t="s">
        <v>436</v>
      </c>
      <c r="D33" s="32" t="s">
        <v>432</v>
      </c>
      <c r="E33" s="4" t="s">
        <v>437</v>
      </c>
      <c r="F33" s="32"/>
      <c r="G33" s="4"/>
    </row>
    <row r="34" spans="2:7" ht="16.5">
      <c r="B34" s="32" t="s">
        <v>81</v>
      </c>
      <c r="C34" s="4" t="s">
        <v>438</v>
      </c>
      <c r="D34" s="32" t="s">
        <v>437</v>
      </c>
      <c r="E34" s="4" t="s">
        <v>434</v>
      </c>
      <c r="F34" s="32"/>
      <c r="G34" s="4"/>
    </row>
    <row r="35" spans="2:7" ht="16.5">
      <c r="B35" s="32" t="s">
        <v>81</v>
      </c>
      <c r="C35" s="4" t="s">
        <v>439</v>
      </c>
      <c r="D35" s="32" t="s">
        <v>432</v>
      </c>
      <c r="E35" s="4" t="s">
        <v>433</v>
      </c>
      <c r="F35" s="32"/>
      <c r="G35" s="4"/>
    </row>
    <row r="36" spans="2:7" ht="16.5">
      <c r="B36" s="32" t="s">
        <v>60</v>
      </c>
      <c r="C36" s="4" t="s">
        <v>385</v>
      </c>
      <c r="D36" s="32" t="s">
        <v>440</v>
      </c>
      <c r="E36" s="4"/>
      <c r="F36" s="32"/>
      <c r="G36" s="4"/>
    </row>
    <row r="37" spans="2:7" ht="16.5">
      <c r="B37" s="32" t="s">
        <v>60</v>
      </c>
      <c r="C37" s="4" t="s">
        <v>391</v>
      </c>
      <c r="D37" s="32" t="s">
        <v>441</v>
      </c>
      <c r="E37" s="4" t="s">
        <v>442</v>
      </c>
      <c r="F37" s="32"/>
      <c r="G37" s="4"/>
    </row>
    <row r="38" spans="2:7" ht="16.5">
      <c r="B38" s="32" t="s">
        <v>60</v>
      </c>
      <c r="C38" s="4" t="s">
        <v>443</v>
      </c>
      <c r="D38" s="32" t="s">
        <v>440</v>
      </c>
      <c r="E38" s="4"/>
      <c r="F38" s="32"/>
      <c r="G38" s="4"/>
    </row>
    <row r="39" spans="2:7" ht="16.5">
      <c r="B39" s="32" t="s">
        <v>61</v>
      </c>
      <c r="C39" s="4" t="s">
        <v>398</v>
      </c>
      <c r="D39" s="32" t="s">
        <v>444</v>
      </c>
      <c r="E39" s="4"/>
      <c r="F39" s="32"/>
      <c r="G39" s="4"/>
    </row>
    <row r="40" spans="2:7" ht="16.5">
      <c r="B40" s="32" t="s">
        <v>61</v>
      </c>
      <c r="C40" s="4" t="s">
        <v>402</v>
      </c>
      <c r="D40" s="32" t="s">
        <v>445</v>
      </c>
      <c r="E40" s="4"/>
      <c r="F40" s="32"/>
      <c r="G40" s="4"/>
    </row>
    <row r="41" spans="2:7" ht="16.5">
      <c r="B41" s="32" t="s">
        <v>61</v>
      </c>
      <c r="C41" s="4" t="s">
        <v>446</v>
      </c>
      <c r="D41" s="32" t="s">
        <v>444</v>
      </c>
      <c r="E41" s="4"/>
      <c r="F41" s="32"/>
      <c r="G41" s="4"/>
    </row>
    <row r="42" spans="2:7" ht="16.5">
      <c r="B42" s="32" t="s">
        <v>22</v>
      </c>
      <c r="C42" s="4" t="s">
        <v>396</v>
      </c>
      <c r="D42" s="32" t="s">
        <v>447</v>
      </c>
      <c r="E42" s="4"/>
      <c r="F42" s="32"/>
      <c r="G42" s="4"/>
    </row>
    <row r="43" spans="2:7" ht="16.5">
      <c r="B43" s="32" t="s">
        <v>22</v>
      </c>
      <c r="C43" s="4" t="s">
        <v>448</v>
      </c>
      <c r="D43" s="32"/>
      <c r="E43" s="4"/>
      <c r="F43" s="32"/>
      <c r="G43" s="4"/>
    </row>
    <row r="44" spans="2:7" ht="16.5">
      <c r="B44" s="32" t="s">
        <v>22</v>
      </c>
      <c r="C44" s="4" t="s">
        <v>400</v>
      </c>
      <c r="D44" s="32" t="s">
        <v>449</v>
      </c>
      <c r="E44" s="4"/>
      <c r="F44" s="32"/>
      <c r="G44" s="4"/>
    </row>
    <row r="45" spans="2:7" ht="16.5">
      <c r="B45" s="32" t="s">
        <v>22</v>
      </c>
      <c r="C45" s="4" t="s">
        <v>410</v>
      </c>
      <c r="D45" s="32" t="s">
        <v>449</v>
      </c>
      <c r="E45" s="4"/>
      <c r="F45" s="32"/>
      <c r="G45" s="4"/>
    </row>
    <row r="46" spans="2:7" ht="16.5">
      <c r="B46" s="32" t="s">
        <v>100</v>
      </c>
      <c r="C46" s="4" t="s">
        <v>450</v>
      </c>
      <c r="D46" s="32"/>
      <c r="E46" s="4"/>
      <c r="F46" s="32"/>
      <c r="G46" s="4"/>
    </row>
    <row r="47" spans="2:7" ht="16.5">
      <c r="B47" s="32" t="s">
        <v>100</v>
      </c>
      <c r="C47" s="4" t="s">
        <v>451</v>
      </c>
      <c r="D47" s="32"/>
      <c r="E47" s="4"/>
      <c r="F47" s="32"/>
      <c r="G47" s="4"/>
    </row>
    <row r="48" spans="2:7" ht="16.5">
      <c r="B48" s="32" t="s">
        <v>49</v>
      </c>
      <c r="C48" s="4" t="s">
        <v>402</v>
      </c>
      <c r="D48" s="32" t="s">
        <v>190</v>
      </c>
      <c r="E48" s="4" t="s">
        <v>452</v>
      </c>
      <c r="F48" s="32"/>
      <c r="G48" s="4"/>
    </row>
    <row r="49" spans="2:7" ht="16.5">
      <c r="B49" s="32" t="s">
        <v>49</v>
      </c>
      <c r="C49" s="4" t="s">
        <v>396</v>
      </c>
      <c r="D49" s="32" t="s">
        <v>190</v>
      </c>
      <c r="E49" s="4"/>
      <c r="F49" s="32"/>
      <c r="G49" s="4"/>
    </row>
    <row r="50" spans="2:7" ht="16.5">
      <c r="B50" s="32" t="s">
        <v>49</v>
      </c>
      <c r="C50" s="4" t="s">
        <v>448</v>
      </c>
      <c r="D50" s="32" t="s">
        <v>453</v>
      </c>
      <c r="E50" s="4"/>
      <c r="F50" s="32"/>
      <c r="G50" s="4"/>
    </row>
    <row r="51" spans="2:7" ht="16.5">
      <c r="B51" s="32" t="s">
        <v>49</v>
      </c>
      <c r="C51" s="4" t="s">
        <v>446</v>
      </c>
      <c r="D51" s="32" t="s">
        <v>454</v>
      </c>
      <c r="E51" s="4"/>
      <c r="F51" s="32"/>
      <c r="G51" s="4"/>
    </row>
    <row r="52" spans="2:7" ht="16.5">
      <c r="B52" s="32" t="s">
        <v>40</v>
      </c>
      <c r="C52" s="4" t="s">
        <v>389</v>
      </c>
      <c r="D52" s="32" t="s">
        <v>428</v>
      </c>
      <c r="E52" s="4"/>
      <c r="F52" s="32"/>
      <c r="G52" s="4"/>
    </row>
    <row r="53" spans="2:7" ht="16.5">
      <c r="B53" s="32" t="s">
        <v>40</v>
      </c>
      <c r="C53" s="4" t="s">
        <v>400</v>
      </c>
      <c r="D53" s="32" t="s">
        <v>428</v>
      </c>
      <c r="E53" s="4"/>
      <c r="F53" s="32"/>
      <c r="G53" s="4"/>
    </row>
    <row r="54" spans="2:7" ht="16.5">
      <c r="B54" s="32" t="s">
        <v>90</v>
      </c>
      <c r="C54" s="4" t="s">
        <v>455</v>
      </c>
      <c r="D54" s="32" t="s">
        <v>332</v>
      </c>
      <c r="E54" s="4"/>
      <c r="F54" s="32"/>
      <c r="G54" s="4"/>
    </row>
    <row r="55" spans="2:7" ht="16.5">
      <c r="B55" s="32" t="s">
        <v>66</v>
      </c>
      <c r="C55" s="4" t="s">
        <v>389</v>
      </c>
      <c r="D55" s="32" t="s">
        <v>456</v>
      </c>
      <c r="E55" s="4"/>
      <c r="F55" s="32"/>
      <c r="G55" s="4"/>
    </row>
    <row r="56" spans="2:7" ht="16.5">
      <c r="B56" s="32" t="s">
        <v>86</v>
      </c>
      <c r="C56" s="4" t="s">
        <v>446</v>
      </c>
      <c r="D56" s="32" t="s">
        <v>313</v>
      </c>
      <c r="E56" s="4" t="s">
        <v>457</v>
      </c>
      <c r="F56" s="32"/>
      <c r="G56" s="4"/>
    </row>
    <row r="57" spans="2:7" ht="16.5">
      <c r="B57" s="32" t="s">
        <v>96</v>
      </c>
      <c r="C57" s="4" t="s">
        <v>405</v>
      </c>
      <c r="D57" s="32" t="s">
        <v>356</v>
      </c>
      <c r="E57" s="4"/>
      <c r="F57" s="32"/>
      <c r="G57" s="4"/>
    </row>
    <row r="58" spans="2:7" ht="16.5">
      <c r="B58" s="32" t="s">
        <v>74</v>
      </c>
      <c r="C58" s="4" t="s">
        <v>455</v>
      </c>
      <c r="D58" s="32" t="s">
        <v>458</v>
      </c>
      <c r="E58" s="4"/>
      <c r="F58" s="32"/>
      <c r="G58" s="4"/>
    </row>
    <row r="59" spans="2:7" ht="16.5">
      <c r="B59" s="32" t="s">
        <v>74</v>
      </c>
      <c r="C59" s="4" t="s">
        <v>405</v>
      </c>
      <c r="D59" s="32" t="s">
        <v>428</v>
      </c>
      <c r="E59" s="4"/>
      <c r="F59" s="32"/>
      <c r="G59" s="4"/>
    </row>
    <row r="60" spans="2:7" ht="16.5">
      <c r="B60" s="32" t="s">
        <v>58</v>
      </c>
      <c r="C60" s="4" t="s">
        <v>448</v>
      </c>
      <c r="D60" s="32" t="s">
        <v>459</v>
      </c>
      <c r="E60" s="4"/>
      <c r="F60" s="32"/>
      <c r="G60" s="4"/>
    </row>
    <row r="61" spans="2:7" ht="16.5">
      <c r="B61" s="32" t="s">
        <v>58</v>
      </c>
      <c r="C61" s="4" t="s">
        <v>400</v>
      </c>
      <c r="D61" s="32" t="s">
        <v>459</v>
      </c>
      <c r="E61" s="4"/>
      <c r="F61" s="32"/>
      <c r="G61" s="4"/>
    </row>
    <row r="62" spans="2:7" ht="16.5">
      <c r="B62" s="32" t="s">
        <v>58</v>
      </c>
      <c r="C62" s="4" t="s">
        <v>443</v>
      </c>
      <c r="D62" s="32" t="s">
        <v>460</v>
      </c>
      <c r="E62" s="4"/>
      <c r="F62" s="32"/>
      <c r="G62" s="4"/>
    </row>
    <row r="63" spans="2:7" ht="16.5">
      <c r="B63" s="32" t="s">
        <v>58</v>
      </c>
      <c r="C63" s="4" t="s">
        <v>410</v>
      </c>
      <c r="D63" s="32" t="s">
        <v>459</v>
      </c>
      <c r="E63" s="4"/>
      <c r="F63" s="32"/>
      <c r="G63" s="4"/>
    </row>
    <row r="64" spans="2:7" ht="16.5">
      <c r="B64" s="32" t="s">
        <v>58</v>
      </c>
      <c r="C64" s="4" t="s">
        <v>391</v>
      </c>
      <c r="D64" s="32" t="s">
        <v>461</v>
      </c>
      <c r="E64" s="4"/>
      <c r="F64" s="32"/>
      <c r="G64" s="4"/>
    </row>
    <row r="65" spans="2:7" ht="16.5">
      <c r="B65" s="32" t="s">
        <v>68</v>
      </c>
      <c r="C65" s="4" t="s">
        <v>398</v>
      </c>
      <c r="D65" s="32" t="s">
        <v>256</v>
      </c>
      <c r="E65" s="4" t="s">
        <v>462</v>
      </c>
      <c r="F65" s="32"/>
      <c r="G65" s="4"/>
    </row>
    <row r="66" spans="2:7" ht="16.5">
      <c r="B66" s="32" t="s">
        <v>68</v>
      </c>
      <c r="C66" s="4" t="s">
        <v>448</v>
      </c>
      <c r="D66" s="32" t="s">
        <v>256</v>
      </c>
      <c r="E66" s="4" t="s">
        <v>462</v>
      </c>
      <c r="F66" s="32"/>
      <c r="G66" s="4"/>
    </row>
    <row r="67" spans="2:7" ht="16.5">
      <c r="B67" s="32" t="s">
        <v>68</v>
      </c>
      <c r="C67" s="4" t="s">
        <v>402</v>
      </c>
      <c r="D67" s="32" t="s">
        <v>463</v>
      </c>
      <c r="E67" s="4"/>
      <c r="F67" s="32"/>
      <c r="G67" s="4"/>
    </row>
    <row r="68" spans="2:7" ht="16.5">
      <c r="B68" s="32" t="s">
        <v>68</v>
      </c>
      <c r="C68" s="4" t="s">
        <v>396</v>
      </c>
      <c r="D68" s="32" t="s">
        <v>463</v>
      </c>
      <c r="E68" s="4"/>
      <c r="F68" s="32"/>
      <c r="G68" s="4"/>
    </row>
    <row r="69" spans="2:7" ht="16.5">
      <c r="B69" s="32" t="s">
        <v>68</v>
      </c>
      <c r="C69" s="4" t="s">
        <v>410</v>
      </c>
      <c r="D69" s="32" t="s">
        <v>462</v>
      </c>
      <c r="E69" s="4" t="s">
        <v>256</v>
      </c>
      <c r="F69" s="32"/>
      <c r="G69" s="4"/>
    </row>
    <row r="70" spans="2:7" ht="16.5">
      <c r="B70" s="32" t="s">
        <v>68</v>
      </c>
      <c r="C70" s="4" t="s">
        <v>400</v>
      </c>
      <c r="D70" s="32" t="s">
        <v>462</v>
      </c>
      <c r="E70" s="4" t="s">
        <v>256</v>
      </c>
      <c r="F70" s="32"/>
      <c r="G70" s="4"/>
    </row>
    <row r="71" spans="2:7" ht="16.5">
      <c r="B71" s="32" t="s">
        <v>33</v>
      </c>
      <c r="C71" s="4" t="s">
        <v>464</v>
      </c>
      <c r="D71" s="32" t="s">
        <v>465</v>
      </c>
      <c r="E71" s="4"/>
      <c r="F71" s="32"/>
      <c r="G71" s="4"/>
    </row>
    <row r="72" spans="2:7" ht="16.5">
      <c r="B72" s="32" t="s">
        <v>33</v>
      </c>
      <c r="C72" s="4" t="s">
        <v>466</v>
      </c>
      <c r="D72" s="32" t="s">
        <v>467</v>
      </c>
      <c r="E72" s="4"/>
      <c r="F72" s="32"/>
      <c r="G72" s="4"/>
    </row>
    <row r="73" spans="2:7" ht="16.5">
      <c r="B73" s="32" t="s">
        <v>33</v>
      </c>
      <c r="C73" s="4" t="s">
        <v>396</v>
      </c>
      <c r="D73" s="32" t="s">
        <v>139</v>
      </c>
      <c r="E73" s="4" t="s">
        <v>468</v>
      </c>
      <c r="F73" s="32"/>
      <c r="G73" s="4"/>
    </row>
    <row r="74" spans="2:7" ht="16.5">
      <c r="B74" s="32" t="s">
        <v>33</v>
      </c>
      <c r="C74" s="4" t="s">
        <v>400</v>
      </c>
      <c r="D74" s="32" t="s">
        <v>469</v>
      </c>
      <c r="E74" s="4"/>
      <c r="F74" s="32"/>
      <c r="G74" s="4"/>
    </row>
    <row r="75" spans="2:7" ht="16.5">
      <c r="B75" s="32" t="s">
        <v>33</v>
      </c>
      <c r="C75" s="4" t="s">
        <v>385</v>
      </c>
      <c r="D75" s="32" t="s">
        <v>470</v>
      </c>
      <c r="E75" s="4"/>
      <c r="F75" s="32"/>
      <c r="G75" s="4"/>
    </row>
    <row r="76" spans="2:7" ht="16.5">
      <c r="B76" s="32" t="s">
        <v>33</v>
      </c>
      <c r="C76" s="4" t="s">
        <v>391</v>
      </c>
      <c r="D76" s="32" t="s">
        <v>471</v>
      </c>
      <c r="E76" s="4" t="s">
        <v>472</v>
      </c>
      <c r="F76" s="32"/>
      <c r="G76" s="4"/>
    </row>
    <row r="77" spans="2:7" ht="16.5">
      <c r="B77" s="32" t="s">
        <v>38</v>
      </c>
      <c r="C77" s="4" t="s">
        <v>396</v>
      </c>
      <c r="D77" s="32" t="s">
        <v>473</v>
      </c>
      <c r="E77" s="4" t="s">
        <v>474</v>
      </c>
      <c r="F77" s="32"/>
      <c r="G77" s="4"/>
    </row>
    <row r="78" spans="2:7" ht="16.5">
      <c r="B78" s="32" t="s">
        <v>38</v>
      </c>
      <c r="C78" s="4" t="s">
        <v>402</v>
      </c>
      <c r="D78" s="32" t="s">
        <v>475</v>
      </c>
      <c r="E78" s="4"/>
      <c r="F78" s="32"/>
      <c r="G78" s="4"/>
    </row>
    <row r="79" spans="2:7" ht="16.5">
      <c r="B79" s="32" t="s">
        <v>38</v>
      </c>
      <c r="C79" s="4" t="s">
        <v>448</v>
      </c>
      <c r="D79" s="32" t="s">
        <v>476</v>
      </c>
      <c r="E79" s="4"/>
      <c r="F79" s="32"/>
      <c r="G79" s="4"/>
    </row>
    <row r="80" spans="2:7" ht="16.5">
      <c r="B80" s="32" t="s">
        <v>38</v>
      </c>
      <c r="C80" s="4" t="s">
        <v>391</v>
      </c>
      <c r="D80" s="32" t="s">
        <v>477</v>
      </c>
      <c r="E80" s="4"/>
      <c r="F80" s="32"/>
      <c r="G80" s="4"/>
    </row>
    <row r="81" spans="2:7" ht="16.5">
      <c r="B81" s="32" t="s">
        <v>38</v>
      </c>
      <c r="C81" s="4" t="s">
        <v>478</v>
      </c>
      <c r="D81" s="32" t="s">
        <v>428</v>
      </c>
      <c r="E81" s="4"/>
      <c r="F81" s="32"/>
      <c r="G81" s="4"/>
    </row>
    <row r="82" spans="2:7" ht="16.5">
      <c r="B82" s="32" t="s">
        <v>38</v>
      </c>
      <c r="C82" s="4" t="s">
        <v>479</v>
      </c>
      <c r="D82" s="32" t="s">
        <v>480</v>
      </c>
      <c r="E82" s="4"/>
      <c r="F82" s="32"/>
      <c r="G82" s="4"/>
    </row>
    <row r="83" spans="2:7" ht="16.5">
      <c r="B83" s="32" t="s">
        <v>38</v>
      </c>
      <c r="C83" s="4" t="s">
        <v>429</v>
      </c>
      <c r="D83" s="32" t="s">
        <v>480</v>
      </c>
      <c r="E83" s="4"/>
      <c r="F83" s="32"/>
      <c r="G83" s="4"/>
    </row>
    <row r="84" spans="2:7" ht="16.5">
      <c r="B84" s="32" t="s">
        <v>46</v>
      </c>
      <c r="C84" s="4" t="s">
        <v>398</v>
      </c>
      <c r="D84" s="32" t="s">
        <v>481</v>
      </c>
      <c r="E84" s="4"/>
      <c r="F84" s="32"/>
      <c r="G84" s="4"/>
    </row>
    <row r="85" spans="2:7" ht="16.5">
      <c r="B85" s="32" t="s">
        <v>46</v>
      </c>
      <c r="C85" s="4" t="s">
        <v>400</v>
      </c>
      <c r="D85" s="32" t="s">
        <v>482</v>
      </c>
      <c r="E85" s="4"/>
      <c r="F85" s="32"/>
      <c r="G85" s="4"/>
    </row>
    <row r="86" spans="2:7" ht="16.5">
      <c r="B86" s="32" t="s">
        <v>46</v>
      </c>
      <c r="C86" s="4" t="s">
        <v>385</v>
      </c>
      <c r="D86" s="32" t="s">
        <v>179</v>
      </c>
      <c r="E86" s="4"/>
      <c r="F86" s="32"/>
      <c r="G86" s="4"/>
    </row>
    <row r="87" spans="2:7" ht="16.5">
      <c r="B87" s="32" t="s">
        <v>46</v>
      </c>
      <c r="C87" s="4" t="s">
        <v>418</v>
      </c>
      <c r="D87" s="32" t="s">
        <v>483</v>
      </c>
      <c r="E87" s="4"/>
      <c r="F87" s="32"/>
      <c r="G87" s="4"/>
    </row>
    <row r="88" spans="2:7" ht="16.5">
      <c r="B88" s="32" t="s">
        <v>46</v>
      </c>
      <c r="C88" s="4" t="s">
        <v>389</v>
      </c>
      <c r="D88" s="32" t="s">
        <v>179</v>
      </c>
      <c r="E88" s="4"/>
      <c r="F88" s="32"/>
      <c r="G88" s="4"/>
    </row>
    <row r="89" spans="2:7" ht="16.5">
      <c r="B89" s="32" t="s">
        <v>46</v>
      </c>
      <c r="C89" s="4" t="s">
        <v>396</v>
      </c>
      <c r="D89" s="32" t="s">
        <v>428</v>
      </c>
      <c r="E89" s="4"/>
      <c r="F89" s="32"/>
      <c r="G89" s="4"/>
    </row>
    <row r="90" spans="2:7" ht="16.5">
      <c r="B90" s="32" t="s">
        <v>46</v>
      </c>
      <c r="C90" s="4" t="s">
        <v>402</v>
      </c>
      <c r="D90" s="32" t="s">
        <v>428</v>
      </c>
      <c r="E90" s="4"/>
      <c r="F90" s="32"/>
      <c r="G90" s="4"/>
    </row>
    <row r="91" spans="2:7" ht="16.5">
      <c r="B91" s="32" t="s">
        <v>65</v>
      </c>
      <c r="C91" s="4" t="s">
        <v>398</v>
      </c>
      <c r="D91" s="32" t="s">
        <v>246</v>
      </c>
      <c r="E91" s="4"/>
      <c r="F91" s="32"/>
      <c r="G91" s="4"/>
    </row>
    <row r="92" spans="2:7" ht="16.5">
      <c r="B92" s="32" t="s">
        <v>65</v>
      </c>
      <c r="C92" s="4" t="s">
        <v>400</v>
      </c>
      <c r="D92" s="32" t="s">
        <v>246</v>
      </c>
      <c r="E92" s="4"/>
      <c r="F92" s="32"/>
      <c r="G92" s="4"/>
    </row>
    <row r="93" spans="2:7" ht="16.5">
      <c r="B93" s="32" t="s">
        <v>65</v>
      </c>
      <c r="C93" s="4" t="s">
        <v>391</v>
      </c>
      <c r="D93" s="32" t="s">
        <v>484</v>
      </c>
      <c r="E93" s="4"/>
      <c r="F93" s="32"/>
      <c r="G93" s="4"/>
    </row>
    <row r="94" spans="2:7" ht="16.5">
      <c r="B94" s="32" t="s">
        <v>65</v>
      </c>
      <c r="C94" s="4" t="s">
        <v>396</v>
      </c>
      <c r="D94" s="32" t="s">
        <v>485</v>
      </c>
      <c r="E94" s="4" t="s">
        <v>486</v>
      </c>
      <c r="F94" s="32"/>
      <c r="G94" s="4"/>
    </row>
    <row r="95" spans="2:7" ht="16.5">
      <c r="B95" s="32" t="s">
        <v>65</v>
      </c>
      <c r="C95" s="4" t="s">
        <v>407</v>
      </c>
      <c r="D95" s="32" t="s">
        <v>246</v>
      </c>
      <c r="E95" s="4"/>
      <c r="F95" s="32"/>
      <c r="G95" s="4"/>
    </row>
    <row r="96" spans="2:7" ht="16.5">
      <c r="B96" s="32" t="s">
        <v>65</v>
      </c>
      <c r="C96" s="4" t="s">
        <v>410</v>
      </c>
      <c r="D96" s="32" t="s">
        <v>246</v>
      </c>
      <c r="E96" s="4"/>
      <c r="F96" s="32"/>
      <c r="G96" s="4"/>
    </row>
    <row r="97" spans="2:7" ht="16.5">
      <c r="B97" s="32" t="s">
        <v>65</v>
      </c>
      <c r="C97" s="4" t="s">
        <v>443</v>
      </c>
      <c r="D97" s="32" t="s">
        <v>487</v>
      </c>
      <c r="E97" s="4"/>
      <c r="F97" s="32"/>
      <c r="G97" s="4"/>
    </row>
    <row r="98" spans="2:7" ht="16.5">
      <c r="B98" s="32" t="s">
        <v>62</v>
      </c>
      <c r="C98" s="4" t="s">
        <v>405</v>
      </c>
      <c r="D98" s="32" t="s">
        <v>237</v>
      </c>
      <c r="E98" s="4"/>
      <c r="F98" s="32"/>
      <c r="G98" s="4"/>
    </row>
    <row r="99" spans="2:7" ht="16.5">
      <c r="B99" s="32" t="s">
        <v>70</v>
      </c>
      <c r="C99" s="4" t="s">
        <v>448</v>
      </c>
      <c r="D99" s="32" t="s">
        <v>261</v>
      </c>
      <c r="E99" s="4" t="s">
        <v>488</v>
      </c>
      <c r="F99" s="32"/>
      <c r="G99" s="4"/>
    </row>
    <row r="100" spans="2:7" ht="16.5">
      <c r="B100" s="32" t="s">
        <v>70</v>
      </c>
      <c r="C100" s="4" t="s">
        <v>398</v>
      </c>
      <c r="D100" s="32" t="s">
        <v>261</v>
      </c>
      <c r="E100" s="4" t="s">
        <v>488</v>
      </c>
      <c r="F100" s="32"/>
      <c r="G100" s="4"/>
    </row>
    <row r="101" spans="2:7" ht="16.5">
      <c r="B101" s="32" t="s">
        <v>70</v>
      </c>
      <c r="C101" s="4" t="s">
        <v>400</v>
      </c>
      <c r="D101" s="32" t="s">
        <v>488</v>
      </c>
      <c r="E101" s="4"/>
      <c r="F101" s="32"/>
      <c r="G101" s="4"/>
    </row>
    <row r="102" spans="2:7" ht="16.5">
      <c r="B102" s="32" t="s">
        <v>70</v>
      </c>
      <c r="C102" s="4" t="s">
        <v>402</v>
      </c>
      <c r="D102" s="32" t="s">
        <v>489</v>
      </c>
      <c r="E102" s="4"/>
      <c r="F102" s="32"/>
      <c r="G102" s="4"/>
    </row>
    <row r="103" spans="2:7" ht="16.5">
      <c r="B103" s="32" t="s">
        <v>70</v>
      </c>
      <c r="C103" s="4" t="s">
        <v>410</v>
      </c>
      <c r="D103" s="32" t="s">
        <v>428</v>
      </c>
      <c r="E103" s="4"/>
      <c r="F103" s="32"/>
      <c r="G103" s="4"/>
    </row>
    <row r="104" spans="2:7" ht="16.5">
      <c r="B104" s="32" t="s">
        <v>70</v>
      </c>
      <c r="C104" s="4" t="s">
        <v>407</v>
      </c>
      <c r="D104" s="32" t="s">
        <v>490</v>
      </c>
      <c r="E104" s="4" t="s">
        <v>261</v>
      </c>
      <c r="F104" s="32"/>
      <c r="G104" s="4"/>
    </row>
    <row r="105" spans="2:7" ht="16.5">
      <c r="B105" s="32" t="s">
        <v>70</v>
      </c>
      <c r="C105" s="4" t="s">
        <v>396</v>
      </c>
      <c r="D105" s="32" t="s">
        <v>428</v>
      </c>
      <c r="E105" s="4"/>
      <c r="F105" s="32"/>
      <c r="G105" s="4"/>
    </row>
    <row r="106" spans="2:7" ht="16.5">
      <c r="B106" s="32" t="s">
        <v>94</v>
      </c>
      <c r="C106" s="4" t="s">
        <v>396</v>
      </c>
      <c r="D106" s="32" t="s">
        <v>491</v>
      </c>
      <c r="E106" s="4" t="s">
        <v>492</v>
      </c>
      <c r="F106" s="32"/>
      <c r="G106" s="4"/>
    </row>
    <row r="107" spans="2:7" ht="16.5">
      <c r="B107" s="32" t="s">
        <v>94</v>
      </c>
      <c r="C107" s="4" t="s">
        <v>400</v>
      </c>
      <c r="D107" s="32" t="s">
        <v>493</v>
      </c>
      <c r="E107" s="4" t="s">
        <v>494</v>
      </c>
      <c r="F107" s="32"/>
      <c r="G107" s="4"/>
    </row>
    <row r="108" spans="2:7" ht="16.5">
      <c r="B108" s="32" t="s">
        <v>94</v>
      </c>
      <c r="C108" s="4" t="s">
        <v>443</v>
      </c>
      <c r="D108" s="32" t="s">
        <v>428</v>
      </c>
      <c r="E108" s="4"/>
      <c r="F108" s="32"/>
      <c r="G108" s="4"/>
    </row>
    <row r="109" spans="2:7" ht="16.5">
      <c r="B109" s="32" t="s">
        <v>94</v>
      </c>
      <c r="C109" s="4" t="s">
        <v>391</v>
      </c>
      <c r="D109" s="32" t="s">
        <v>495</v>
      </c>
      <c r="E109" s="4"/>
      <c r="F109" s="32"/>
      <c r="G109" s="4"/>
    </row>
    <row r="110" spans="2:7" ht="16.5">
      <c r="B110" s="32" t="s">
        <v>89</v>
      </c>
      <c r="C110" s="4" t="s">
        <v>446</v>
      </c>
      <c r="D110" s="32" t="s">
        <v>496</v>
      </c>
      <c r="E110" s="4"/>
      <c r="F110" s="32"/>
      <c r="G110" s="4"/>
    </row>
    <row r="111" spans="2:7" ht="16.5">
      <c r="B111" s="32" t="s">
        <v>89</v>
      </c>
      <c r="C111" s="4" t="s">
        <v>402</v>
      </c>
      <c r="D111" s="32" t="s">
        <v>497</v>
      </c>
      <c r="E111" s="4"/>
      <c r="F111" s="32"/>
      <c r="G111" s="4"/>
    </row>
    <row r="112" spans="2:7" ht="16.5">
      <c r="B112" s="32" t="s">
        <v>89</v>
      </c>
      <c r="C112" s="4" t="s">
        <v>398</v>
      </c>
      <c r="D112" s="32" t="s">
        <v>496</v>
      </c>
      <c r="E112" s="4" t="s">
        <v>498</v>
      </c>
      <c r="F112" s="32"/>
      <c r="G112" s="4"/>
    </row>
    <row r="113" spans="2:7" ht="16.5">
      <c r="B113" s="32" t="s">
        <v>30</v>
      </c>
      <c r="C113" s="4" t="s">
        <v>391</v>
      </c>
      <c r="D113" s="32" t="s">
        <v>499</v>
      </c>
      <c r="E113" s="4" t="s">
        <v>500</v>
      </c>
      <c r="F113" s="32"/>
      <c r="G113" s="4"/>
    </row>
    <row r="114" spans="2:7" ht="16.5">
      <c r="B114" s="32" t="s">
        <v>30</v>
      </c>
      <c r="C114" s="4" t="s">
        <v>385</v>
      </c>
      <c r="D114" s="32" t="s">
        <v>501</v>
      </c>
      <c r="E114" s="4"/>
      <c r="F114" s="32"/>
      <c r="G114" s="4"/>
    </row>
    <row r="115" spans="2:7" ht="16.5">
      <c r="B115" s="32" t="s">
        <v>30</v>
      </c>
      <c r="C115" s="4" t="s">
        <v>389</v>
      </c>
      <c r="D115" s="32" t="s">
        <v>502</v>
      </c>
      <c r="E115" s="4"/>
      <c r="F115" s="32"/>
      <c r="G115" s="4"/>
    </row>
    <row r="116" spans="2:7" ht="16.5">
      <c r="B116" s="32" t="s">
        <v>30</v>
      </c>
      <c r="C116" s="4" t="s">
        <v>418</v>
      </c>
      <c r="D116" s="32" t="s">
        <v>503</v>
      </c>
      <c r="E116" s="4"/>
      <c r="F116" s="32"/>
      <c r="G116" s="4"/>
    </row>
    <row r="117" spans="2:7" ht="16.5">
      <c r="B117" s="32" t="s">
        <v>504</v>
      </c>
      <c r="C117" s="4" t="s">
        <v>402</v>
      </c>
      <c r="D117" s="32" t="s">
        <v>505</v>
      </c>
      <c r="E117" s="4" t="s">
        <v>506</v>
      </c>
      <c r="F117" s="32"/>
      <c r="G117" s="4"/>
    </row>
    <row r="118" spans="2:7" ht="16.5">
      <c r="B118" s="32" t="s">
        <v>504</v>
      </c>
      <c r="C118" s="4" t="s">
        <v>446</v>
      </c>
      <c r="D118" s="32" t="s">
        <v>174</v>
      </c>
      <c r="E118" s="4" t="s">
        <v>507</v>
      </c>
      <c r="F118" s="32" t="s">
        <v>508</v>
      </c>
      <c r="G118" s="4"/>
    </row>
    <row r="119" spans="2:7" ht="16.5">
      <c r="B119" s="32" t="s">
        <v>504</v>
      </c>
      <c r="C119" s="4" t="s">
        <v>389</v>
      </c>
      <c r="D119" s="32" t="s">
        <v>509</v>
      </c>
      <c r="E119" s="4"/>
      <c r="F119" s="32"/>
      <c r="G119" s="4"/>
    </row>
    <row r="120" spans="2:7" ht="16.5">
      <c r="B120" s="32" t="s">
        <v>504</v>
      </c>
      <c r="C120" s="4" t="s">
        <v>391</v>
      </c>
      <c r="D120" s="32" t="s">
        <v>510</v>
      </c>
      <c r="E120" s="4"/>
      <c r="F120" s="32"/>
      <c r="G120" s="4"/>
    </row>
    <row r="121" spans="2:7" ht="16.5">
      <c r="B121" s="32" t="s">
        <v>35</v>
      </c>
      <c r="C121" s="4" t="s">
        <v>429</v>
      </c>
      <c r="D121" s="32" t="s">
        <v>511</v>
      </c>
      <c r="E121" s="4" t="s">
        <v>512</v>
      </c>
      <c r="F121" s="32"/>
      <c r="G121" s="4"/>
    </row>
    <row r="122" spans="2:7" ht="16.5">
      <c r="B122" s="32" t="s">
        <v>35</v>
      </c>
      <c r="C122" s="4" t="s">
        <v>479</v>
      </c>
      <c r="D122" s="32" t="s">
        <v>511</v>
      </c>
      <c r="E122" s="4" t="s">
        <v>512</v>
      </c>
      <c r="F122" s="32"/>
      <c r="G122" s="4"/>
    </row>
    <row r="123" spans="2:7" ht="16.5">
      <c r="B123" s="32" t="s">
        <v>35</v>
      </c>
      <c r="C123" s="4" t="s">
        <v>478</v>
      </c>
      <c r="D123" s="32" t="s">
        <v>513</v>
      </c>
      <c r="E123" s="4"/>
      <c r="F123" s="32"/>
      <c r="G123" s="4"/>
    </row>
    <row r="124" spans="2:7" ht="16.5">
      <c r="B124" s="32" t="s">
        <v>22</v>
      </c>
      <c r="C124" s="4" t="s">
        <v>389</v>
      </c>
      <c r="D124" s="32" t="s">
        <v>428</v>
      </c>
      <c r="E124" s="4"/>
      <c r="F124" s="32"/>
      <c r="G124" s="4"/>
    </row>
    <row r="125" spans="2:7" ht="16.5">
      <c r="B125" s="32" t="s">
        <v>22</v>
      </c>
      <c r="C125" s="4" t="s">
        <v>446</v>
      </c>
      <c r="D125" s="32" t="s">
        <v>200</v>
      </c>
      <c r="E125" s="4"/>
      <c r="F125" s="32"/>
      <c r="G125" s="4"/>
    </row>
    <row r="126" spans="2:7" ht="16.5">
      <c r="B126" s="32" t="s">
        <v>22</v>
      </c>
      <c r="C126" s="4" t="s">
        <v>385</v>
      </c>
      <c r="D126" s="32" t="s">
        <v>514</v>
      </c>
      <c r="E126" s="4"/>
      <c r="F126" s="32"/>
      <c r="G126" s="4"/>
    </row>
    <row r="127" spans="2:7" ht="16.5">
      <c r="B127" s="32" t="s">
        <v>22</v>
      </c>
      <c r="C127" s="4" t="s">
        <v>398</v>
      </c>
      <c r="D127" s="32" t="s">
        <v>428</v>
      </c>
      <c r="E127" s="4"/>
      <c r="F127" s="32"/>
      <c r="G127" s="4"/>
    </row>
    <row r="128" spans="2:7" ht="16.5">
      <c r="B128" s="32" t="s">
        <v>22</v>
      </c>
      <c r="C128" s="4" t="s">
        <v>391</v>
      </c>
      <c r="D128" s="32" t="s">
        <v>515</v>
      </c>
      <c r="E128" s="4"/>
      <c r="F128" s="32"/>
      <c r="G128" s="4"/>
    </row>
    <row r="129" spans="2:7" ht="16.5">
      <c r="B129" s="32" t="s">
        <v>24</v>
      </c>
      <c r="C129" s="4" t="s">
        <v>400</v>
      </c>
      <c r="D129" s="32" t="s">
        <v>516</v>
      </c>
      <c r="E129" s="4" t="s">
        <v>517</v>
      </c>
      <c r="F129" s="32"/>
      <c r="G129" s="4"/>
    </row>
    <row r="130" spans="2:7" ht="16.5">
      <c r="B130" s="32" t="s">
        <v>24</v>
      </c>
      <c r="C130" s="4" t="s">
        <v>448</v>
      </c>
      <c r="D130" s="32" t="s">
        <v>518</v>
      </c>
      <c r="E130" s="4"/>
      <c r="F130" s="32"/>
      <c r="G130" s="4"/>
    </row>
    <row r="131" spans="2:7" ht="16.5">
      <c r="B131" s="32" t="s">
        <v>24</v>
      </c>
      <c r="C131" s="4" t="s">
        <v>396</v>
      </c>
      <c r="D131" s="32" t="s">
        <v>519</v>
      </c>
      <c r="E131" s="4" t="s">
        <v>520</v>
      </c>
      <c r="F131" s="32"/>
      <c r="G131" s="4"/>
    </row>
    <row r="132" spans="2:7" ht="16.5">
      <c r="B132" s="32" t="s">
        <v>80</v>
      </c>
      <c r="C132" s="4" t="s">
        <v>455</v>
      </c>
      <c r="D132" s="32" t="s">
        <v>521</v>
      </c>
      <c r="E132" s="4"/>
      <c r="F132" s="32"/>
      <c r="G132" s="4"/>
    </row>
    <row r="133" spans="2:7" ht="16.5">
      <c r="B133" s="32" t="s">
        <v>27</v>
      </c>
      <c r="C133" s="4" t="s">
        <v>448</v>
      </c>
      <c r="D133" s="32" t="s">
        <v>522</v>
      </c>
      <c r="E133" s="4"/>
      <c r="F133" s="32"/>
      <c r="G133" s="4"/>
    </row>
    <row r="134" spans="2:7" ht="16.5">
      <c r="B134" s="32" t="s">
        <v>27</v>
      </c>
      <c r="C134" s="4" t="s">
        <v>400</v>
      </c>
      <c r="D134" s="32" t="s">
        <v>522</v>
      </c>
      <c r="E134" s="4"/>
      <c r="F134" s="32"/>
      <c r="G134" s="4"/>
    </row>
    <row r="135" spans="2:7" ht="16.5">
      <c r="B135" s="32" t="s">
        <v>27</v>
      </c>
      <c r="C135" s="4" t="s">
        <v>410</v>
      </c>
      <c r="D135" s="32" t="s">
        <v>523</v>
      </c>
      <c r="E135" s="4" t="s">
        <v>522</v>
      </c>
      <c r="F135" s="32"/>
      <c r="G135" s="4"/>
    </row>
    <row r="136" spans="2:7" ht="16.5">
      <c r="B136" s="32" t="s">
        <v>27</v>
      </c>
      <c r="C136" s="4" t="s">
        <v>398</v>
      </c>
      <c r="D136" s="32" t="s">
        <v>524</v>
      </c>
      <c r="E136" s="4"/>
      <c r="F136" s="32"/>
      <c r="G136" s="4"/>
    </row>
    <row r="137" spans="2:7" ht="16.5">
      <c r="B137" s="32" t="s">
        <v>27</v>
      </c>
      <c r="C137" s="4" t="s">
        <v>396</v>
      </c>
      <c r="D137" s="32" t="s">
        <v>525</v>
      </c>
      <c r="E137" s="4"/>
      <c r="F137" s="32"/>
      <c r="G137" s="4"/>
    </row>
    <row r="138" spans="2:7" ht="16.5">
      <c r="B138" s="32" t="s">
        <v>92</v>
      </c>
      <c r="C138" s="4" t="s">
        <v>382</v>
      </c>
      <c r="D138" s="32" t="s">
        <v>526</v>
      </c>
      <c r="E138" s="4"/>
      <c r="F138" s="32"/>
      <c r="G138" s="4"/>
    </row>
    <row r="139" spans="2:7" ht="16.5">
      <c r="B139" s="32" t="s">
        <v>97</v>
      </c>
      <c r="C139" s="4" t="s">
        <v>466</v>
      </c>
      <c r="D139" s="32" t="s">
        <v>527</v>
      </c>
      <c r="E139" s="4"/>
      <c r="F139" s="32"/>
      <c r="G139" s="4"/>
    </row>
    <row r="140" spans="2:7" ht="16.5">
      <c r="B140" s="32" t="s">
        <v>97</v>
      </c>
      <c r="C140" s="4" t="s">
        <v>464</v>
      </c>
      <c r="D140" s="32" t="s">
        <v>528</v>
      </c>
      <c r="E140" s="4"/>
      <c r="F140" s="32"/>
      <c r="G140" s="4"/>
    </row>
    <row r="141" spans="2:7" ht="16.5">
      <c r="B141" s="32" t="s">
        <v>63</v>
      </c>
      <c r="C141" s="4" t="s">
        <v>385</v>
      </c>
      <c r="D141" s="32" t="s">
        <v>241</v>
      </c>
      <c r="E141" s="4"/>
      <c r="F141" s="32"/>
      <c r="G141" s="4"/>
    </row>
    <row r="142" spans="2:7" ht="16.5">
      <c r="B142" s="32" t="s">
        <v>63</v>
      </c>
      <c r="C142" s="4" t="s">
        <v>389</v>
      </c>
      <c r="D142" s="32" t="s">
        <v>529</v>
      </c>
      <c r="E142" s="4"/>
      <c r="F142" s="32"/>
      <c r="G142" s="4"/>
    </row>
    <row r="143" spans="2:7" ht="16.5">
      <c r="B143" s="32" t="s">
        <v>63</v>
      </c>
      <c r="C143" s="4" t="s">
        <v>443</v>
      </c>
      <c r="D143" s="32" t="s">
        <v>529</v>
      </c>
      <c r="E143" s="4"/>
      <c r="F143" s="32"/>
      <c r="G143" s="4"/>
    </row>
    <row r="144" spans="2:7" ht="16.5">
      <c r="B144" s="32" t="s">
        <v>63</v>
      </c>
      <c r="C144" s="4" t="s">
        <v>391</v>
      </c>
      <c r="D144" s="32" t="s">
        <v>530</v>
      </c>
      <c r="E144" s="4"/>
      <c r="F144" s="32"/>
      <c r="G144" s="4"/>
    </row>
    <row r="145" spans="2:7" ht="16.5">
      <c r="B145" s="32" t="s">
        <v>63</v>
      </c>
      <c r="C145" s="4" t="s">
        <v>402</v>
      </c>
      <c r="D145" s="32" t="s">
        <v>530</v>
      </c>
      <c r="E145" s="4"/>
      <c r="F145" s="32"/>
      <c r="G145" s="4"/>
    </row>
    <row r="146" spans="2:7" ht="16.5">
      <c r="B146" s="32" t="s">
        <v>63</v>
      </c>
      <c r="C146" s="4" t="s">
        <v>410</v>
      </c>
      <c r="D146" s="32" t="s">
        <v>428</v>
      </c>
      <c r="E146" s="4"/>
      <c r="F146" s="32"/>
      <c r="G146" s="4"/>
    </row>
    <row r="147" spans="2:7" ht="16.5">
      <c r="B147" s="32" t="s">
        <v>47</v>
      </c>
      <c r="C147" s="4" t="s">
        <v>446</v>
      </c>
      <c r="D147" s="32" t="s">
        <v>531</v>
      </c>
      <c r="E147" s="4"/>
      <c r="F147" s="32"/>
      <c r="G147" s="4"/>
    </row>
    <row r="148" spans="2:7" ht="16.5">
      <c r="B148" s="32" t="s">
        <v>47</v>
      </c>
      <c r="C148" s="4" t="s">
        <v>402</v>
      </c>
      <c r="D148" s="32" t="s">
        <v>532</v>
      </c>
      <c r="E148" s="4" t="s">
        <v>533</v>
      </c>
      <c r="F148" s="32"/>
      <c r="G148" s="4"/>
    </row>
    <row r="149" spans="2:7" ht="16.5">
      <c r="B149" s="32" t="s">
        <v>85</v>
      </c>
      <c r="C149" s="4" t="s">
        <v>385</v>
      </c>
      <c r="D149" s="32" t="s">
        <v>309</v>
      </c>
      <c r="E149" s="4"/>
      <c r="F149" s="32"/>
      <c r="G149" s="4"/>
    </row>
    <row r="150" spans="2:7" ht="16.5">
      <c r="B150" s="32" t="s">
        <v>85</v>
      </c>
      <c r="C150" s="4" t="s">
        <v>389</v>
      </c>
      <c r="D150" s="32" t="s">
        <v>534</v>
      </c>
      <c r="E150" s="4"/>
      <c r="F150" s="32"/>
      <c r="G150" s="4"/>
    </row>
    <row r="151" spans="2:7" ht="16.5">
      <c r="B151" s="32" t="s">
        <v>85</v>
      </c>
      <c r="C151" s="4" t="s">
        <v>391</v>
      </c>
      <c r="D151" s="32" t="s">
        <v>535</v>
      </c>
      <c r="E151" s="4" t="s">
        <v>536</v>
      </c>
      <c r="F151" s="32"/>
      <c r="G151" s="4"/>
    </row>
  </sheetData>
  <phoneticPr fontId="2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0CCA-2CEF-468C-AE40-15BFA005E6DB}">
  <sheetPr>
    <tabColor rgb="FF00B050"/>
  </sheetPr>
  <dimension ref="A1:L52"/>
  <sheetViews>
    <sheetView topLeftCell="A6" workbookViewId="0">
      <selection activeCell="O8" sqref="O8"/>
    </sheetView>
  </sheetViews>
  <sheetFormatPr defaultRowHeight="14.25"/>
  <cols>
    <col min="1" max="3" width="30" customWidth="1"/>
    <col min="4" max="9" width="17.125" customWidth="1"/>
    <col min="10" max="10" width="23" customWidth="1"/>
    <col min="11" max="12" width="17.125" customWidth="1"/>
  </cols>
  <sheetData>
    <row r="1" spans="1:12" ht="15">
      <c r="A1" s="1" t="s">
        <v>0</v>
      </c>
      <c r="B1" s="2" t="s">
        <v>1</v>
      </c>
      <c r="C1" s="2" t="s">
        <v>2</v>
      </c>
      <c r="D1" s="2" t="s">
        <v>8</v>
      </c>
      <c r="E1" s="2" t="s">
        <v>9</v>
      </c>
      <c r="F1" s="2" t="s">
        <v>537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ht="247.5">
      <c r="A2" s="3" t="s">
        <v>17</v>
      </c>
      <c r="B2" s="5" t="str">
        <f>IFERROR(_xlfn.XLOOKUP(A2,历史方案信息!$C$2:$C$151,历史方案信息!$B$2:$B$151,""),"")</f>
        <v>新疆</v>
      </c>
      <c r="C2" s="5" t="str">
        <f>IFERROR(_xlfn.XLOOKUP(A2,历史方案信息!$C$2:$C$151,历史方案信息!$A$2:$A$151,""),"")</f>
        <v>西北区</v>
      </c>
      <c r="D2" s="4" t="s">
        <v>106</v>
      </c>
      <c r="E2" s="5" t="s">
        <v>107</v>
      </c>
      <c r="F2" s="5" t="s">
        <v>108</v>
      </c>
      <c r="G2" s="6" t="s">
        <v>109</v>
      </c>
      <c r="H2" s="5">
        <v>13039457336</v>
      </c>
      <c r="I2" s="4" t="s">
        <v>110</v>
      </c>
      <c r="J2" s="4" t="s">
        <v>111</v>
      </c>
      <c r="K2" s="7">
        <v>0.06</v>
      </c>
      <c r="L2" s="8" t="s">
        <v>213</v>
      </c>
    </row>
    <row r="3" spans="1:12" ht="247.5">
      <c r="A3" s="9" t="s">
        <v>22</v>
      </c>
      <c r="B3" s="4" t="str">
        <f>IFERROR(_xlfn.XLOOKUP(A3,历史方案信息!$C$2:$C$151,历史方案信息!$B$2:$B$151,""),"")</f>
        <v>兰州</v>
      </c>
      <c r="C3" s="4" t="str">
        <f>IFERROR(_xlfn.XLOOKUP(A3,历史方案信息!$C$2:$C$151,历史方案信息!$A$2:$A$151,""),"")</f>
        <v>西北区</v>
      </c>
      <c r="D3" s="4" t="s">
        <v>112</v>
      </c>
      <c r="E3" s="4" t="s">
        <v>113</v>
      </c>
      <c r="F3" s="4" t="s">
        <v>114</v>
      </c>
      <c r="G3" s="10" t="s">
        <v>115</v>
      </c>
      <c r="H3" s="4">
        <v>17797604947</v>
      </c>
      <c r="I3" s="4" t="s">
        <v>116</v>
      </c>
      <c r="J3" s="4" t="s">
        <v>117</v>
      </c>
      <c r="K3" s="11">
        <v>0.13</v>
      </c>
      <c r="L3" s="8" t="s">
        <v>538</v>
      </c>
    </row>
    <row r="4" spans="1:12" ht="165">
      <c r="A4" s="3" t="s">
        <v>24</v>
      </c>
      <c r="B4" s="5" t="str">
        <f>IFERROR(_xlfn.XLOOKUP(A4,历史方案信息!$C$2:$C$151,历史方案信息!$B$2:$B$151,""),"")</f>
        <v>成都</v>
      </c>
      <c r="C4" s="5" t="str">
        <f>IFERROR(_xlfn.XLOOKUP(A4,历史方案信息!$C$2:$C$151,历史方案信息!$A$2:$A$151,""),"")</f>
        <v>西南区</v>
      </c>
      <c r="D4" s="4" t="s">
        <v>118</v>
      </c>
      <c r="E4" s="5" t="s">
        <v>119</v>
      </c>
      <c r="F4" s="5" t="s">
        <v>120</v>
      </c>
      <c r="G4" s="12" t="s">
        <v>121</v>
      </c>
      <c r="H4" s="5">
        <v>18782285187</v>
      </c>
      <c r="I4" s="4" t="s">
        <v>122</v>
      </c>
      <c r="J4" s="4" t="s">
        <v>123</v>
      </c>
      <c r="K4" s="7">
        <v>0.01</v>
      </c>
      <c r="L4" s="8" t="s">
        <v>213</v>
      </c>
    </row>
    <row r="5" spans="1:12" ht="214.5">
      <c r="A5" s="3" t="s">
        <v>27</v>
      </c>
      <c r="B5" s="5" t="str">
        <f>IFERROR(_xlfn.XLOOKUP(A5,历史方案信息!$C$2:$C$151,历史方案信息!$B$2:$B$151,""),"")</f>
        <v>上海</v>
      </c>
      <c r="C5" s="5" t="str">
        <f>IFERROR(_xlfn.XLOOKUP(A5,历史方案信息!$C$2:$C$151,历史方案信息!$A$2:$A$151,""),"")</f>
        <v>华东区</v>
      </c>
      <c r="D5" s="4" t="s">
        <v>124</v>
      </c>
      <c r="E5" s="5" t="s">
        <v>125</v>
      </c>
      <c r="F5" s="5" t="s">
        <v>126</v>
      </c>
      <c r="G5" s="6" t="s">
        <v>127</v>
      </c>
      <c r="H5" s="5">
        <v>13761291149</v>
      </c>
      <c r="I5" s="4" t="s">
        <v>128</v>
      </c>
      <c r="J5" s="4" t="s">
        <v>129</v>
      </c>
      <c r="K5" s="5" t="s">
        <v>130</v>
      </c>
      <c r="L5" s="8" t="s">
        <v>539</v>
      </c>
    </row>
    <row r="6" spans="1:12" ht="231">
      <c r="A6" s="9" t="s">
        <v>30</v>
      </c>
      <c r="B6" s="4" t="str">
        <f>IFERROR(_xlfn.XLOOKUP(A6,历史方案信息!$C$2:$C$151,历史方案信息!$B$2:$B$151,""),"")</f>
        <v>广州</v>
      </c>
      <c r="C6" s="4" t="str">
        <f>IFERROR(_xlfn.XLOOKUP(A6,历史方案信息!$C$2:$C$151,历史方案信息!$A$2:$A$151,""),"")</f>
        <v>华南区</v>
      </c>
      <c r="D6" s="4" t="s">
        <v>131</v>
      </c>
      <c r="E6" s="13" t="s">
        <v>132</v>
      </c>
      <c r="F6" s="4" t="s">
        <v>133</v>
      </c>
      <c r="G6" s="6" t="s">
        <v>134</v>
      </c>
      <c r="H6" s="4">
        <v>15322031002</v>
      </c>
      <c r="I6" s="4" t="s">
        <v>135</v>
      </c>
      <c r="J6" s="4" t="s">
        <v>136</v>
      </c>
      <c r="K6" s="11">
        <v>0.06</v>
      </c>
      <c r="L6" s="14" t="s">
        <v>132</v>
      </c>
    </row>
    <row r="7" spans="1:12" ht="99">
      <c r="A7" s="15" t="s">
        <v>33</v>
      </c>
      <c r="B7" s="15" t="str">
        <f>IFERROR(_xlfn.XLOOKUP(A7,历史方案信息!$C$2:$C$151,历史方案信息!$B$2:$B$151,""),"")</f>
        <v>武汉</v>
      </c>
      <c r="C7" s="15" t="str">
        <f>IFERROR(_xlfn.XLOOKUP(A7,历史方案信息!$C$2:$C$151,历史方案信息!$A$2:$A$151,""),"")</f>
        <v>华东区</v>
      </c>
      <c r="D7" s="9" t="s">
        <v>137</v>
      </c>
      <c r="E7" s="4" t="s">
        <v>138</v>
      </c>
      <c r="F7" s="4" t="s">
        <v>139</v>
      </c>
      <c r="G7" s="6" t="s">
        <v>140</v>
      </c>
      <c r="H7" s="4">
        <v>19071020885</v>
      </c>
      <c r="I7" s="4" t="s">
        <v>141</v>
      </c>
      <c r="J7" s="4" t="s">
        <v>142</v>
      </c>
      <c r="K7" s="11">
        <v>0.06</v>
      </c>
      <c r="L7" s="8" t="s">
        <v>540</v>
      </c>
    </row>
    <row r="8" spans="1:12" ht="231">
      <c r="A8" s="16" t="s">
        <v>35</v>
      </c>
      <c r="B8" s="17" t="str">
        <f>IFERROR(_xlfn.XLOOKUP(A8,历史方案信息!$C$2:$C$151,历史方案信息!$B$2:$B$151,""),"")</f>
        <v>南宁</v>
      </c>
      <c r="C8" s="17" t="str">
        <f>IFERROR(_xlfn.XLOOKUP(A8,历史方案信息!$C$2:$C$151,历史方案信息!$A$2:$A$151,""),"")</f>
        <v>西南区</v>
      </c>
      <c r="D8" s="17" t="s">
        <v>143</v>
      </c>
      <c r="E8" s="17" t="s">
        <v>144</v>
      </c>
      <c r="F8" s="17" t="s">
        <v>145</v>
      </c>
      <c r="G8" s="10" t="s">
        <v>146</v>
      </c>
      <c r="H8" s="17">
        <v>18777184023</v>
      </c>
      <c r="I8" s="17" t="s">
        <v>147</v>
      </c>
      <c r="J8" s="17" t="s">
        <v>148</v>
      </c>
      <c r="K8" s="18" t="s">
        <v>149</v>
      </c>
      <c r="L8" s="19" t="s">
        <v>541</v>
      </c>
    </row>
    <row r="9" spans="1:12" ht="198">
      <c r="A9" s="9" t="s">
        <v>37</v>
      </c>
      <c r="B9" s="4" t="str">
        <f>IFERROR(_xlfn.XLOOKUP(A9,历史方案信息!$C$2:$C$151,历史方案信息!$B$2:$B$151,""),"")</f>
        <v>成都</v>
      </c>
      <c r="C9" s="4" t="str">
        <f>IFERROR(_xlfn.XLOOKUP(A9,历史方案信息!$C$2:$C$151,历史方案信息!$A$2:$A$151,""),"")</f>
        <v>西南区</v>
      </c>
      <c r="D9" s="4" t="s">
        <v>150</v>
      </c>
      <c r="E9" s="4" t="s">
        <v>151</v>
      </c>
      <c r="F9" s="4" t="s">
        <v>152</v>
      </c>
      <c r="G9" s="6" t="s">
        <v>153</v>
      </c>
      <c r="H9" s="4">
        <v>13678119175</v>
      </c>
      <c r="I9" s="4" t="s">
        <v>154</v>
      </c>
      <c r="J9" s="4" t="s">
        <v>155</v>
      </c>
      <c r="K9" s="11">
        <v>0.13</v>
      </c>
      <c r="L9" s="8" t="s">
        <v>213</v>
      </c>
    </row>
    <row r="10" spans="1:12" ht="198">
      <c r="A10" s="9" t="s">
        <v>38</v>
      </c>
      <c r="B10" s="4" t="str">
        <f>IFERROR(_xlfn.XLOOKUP(A10,历史方案信息!$C$2:$C$151,历史方案信息!$B$2:$B$151,""),"")</f>
        <v>郑州</v>
      </c>
      <c r="C10" s="4" t="str">
        <f>IFERROR(_xlfn.XLOOKUP(A10,历史方案信息!$C$2:$C$151,历史方案信息!$A$2:$A$151,""),"")</f>
        <v>西北区</v>
      </c>
      <c r="D10" s="4" t="s">
        <v>156</v>
      </c>
      <c r="E10" s="4" t="s">
        <v>157</v>
      </c>
      <c r="F10" s="4" t="s">
        <v>158</v>
      </c>
      <c r="G10" s="12" t="s">
        <v>159</v>
      </c>
      <c r="H10" s="4">
        <v>15003856589</v>
      </c>
      <c r="I10" s="4" t="s">
        <v>160</v>
      </c>
      <c r="J10" s="4" t="s">
        <v>161</v>
      </c>
      <c r="K10" s="11">
        <v>0.06</v>
      </c>
      <c r="L10" s="8" t="s">
        <v>213</v>
      </c>
    </row>
    <row r="11" spans="1:12" ht="247.5">
      <c r="A11" s="9" t="s">
        <v>40</v>
      </c>
      <c r="B11" s="4" t="str">
        <f>IFERROR(_xlfn.XLOOKUP(A11,历史方案信息!$C$2:$C$151,历史方案信息!$B$2:$B$151,""),"")</f>
        <v>沈阳</v>
      </c>
      <c r="C11" s="4" t="str">
        <f>IFERROR(_xlfn.XLOOKUP(A11,历史方案信息!$C$2:$C$151,历史方案信息!$A$2:$A$151,""),"")</f>
        <v>东北区</v>
      </c>
      <c r="D11" s="4" t="s">
        <v>162</v>
      </c>
      <c r="E11" s="4">
        <v>15840345732</v>
      </c>
      <c r="F11" s="4" t="s">
        <v>163</v>
      </c>
      <c r="G11" s="6" t="s">
        <v>164</v>
      </c>
      <c r="H11" s="4">
        <v>15840345732</v>
      </c>
      <c r="I11" s="4" t="s">
        <v>165</v>
      </c>
      <c r="J11" s="4" t="s">
        <v>117</v>
      </c>
      <c r="K11" s="11">
        <v>0.06</v>
      </c>
      <c r="L11" s="8" t="s">
        <v>213</v>
      </c>
    </row>
    <row r="12" spans="1:12" ht="330">
      <c r="A12" s="9" t="s">
        <v>43</v>
      </c>
      <c r="B12" s="4" t="str">
        <f>IFERROR(_xlfn.XLOOKUP(A12,历史方案信息!$C$2:$C$151,历史方案信息!$B$2:$B$151,""),"")</f>
        <v>杭州</v>
      </c>
      <c r="C12" s="4" t="str">
        <f>IFERROR(_xlfn.XLOOKUP(A12,历史方案信息!$C$2:$C$151,历史方案信息!$A$2:$A$151,""),"")</f>
        <v>华东区</v>
      </c>
      <c r="D12" s="4" t="s">
        <v>166</v>
      </c>
      <c r="E12" s="4" t="s">
        <v>167</v>
      </c>
      <c r="F12" s="4" t="s">
        <v>168</v>
      </c>
      <c r="G12" s="10" t="s">
        <v>169</v>
      </c>
      <c r="H12" s="4">
        <v>17857071365</v>
      </c>
      <c r="I12" s="4" t="s">
        <v>170</v>
      </c>
      <c r="J12" s="4" t="s">
        <v>171</v>
      </c>
      <c r="K12" s="11">
        <v>0.06</v>
      </c>
      <c r="L12" s="8" t="s">
        <v>542</v>
      </c>
    </row>
    <row r="13" spans="1:12" ht="198">
      <c r="A13" s="20" t="s">
        <v>45</v>
      </c>
      <c r="B13" s="18" t="str">
        <f>IFERROR(_xlfn.XLOOKUP(A13,历史方案信息!$C$2:$C$151,历史方案信息!$B$2:$B$151,""),"")</f>
        <v/>
      </c>
      <c r="C13" s="18" t="str">
        <f>IFERROR(_xlfn.XLOOKUP(A13,历史方案信息!$C$2:$C$151,历史方案信息!$A$2:$A$151,""),"")</f>
        <v/>
      </c>
      <c r="D13" s="17" t="s">
        <v>172</v>
      </c>
      <c r="E13" s="18" t="s">
        <v>173</v>
      </c>
      <c r="F13" s="18" t="s">
        <v>174</v>
      </c>
      <c r="G13" s="6" t="s">
        <v>175</v>
      </c>
      <c r="H13" s="18">
        <v>19977196114</v>
      </c>
      <c r="I13" s="17" t="s">
        <v>176</v>
      </c>
      <c r="J13" s="17" t="s">
        <v>117</v>
      </c>
      <c r="K13" s="21">
        <v>0.03</v>
      </c>
      <c r="L13" s="19" t="s">
        <v>213</v>
      </c>
    </row>
    <row r="14" spans="1:12" ht="247.5">
      <c r="A14" s="9" t="s">
        <v>46</v>
      </c>
      <c r="B14" s="4" t="str">
        <f>IFERROR(_xlfn.XLOOKUP(A14,历史方案信息!$C$2:$C$151,历史方案信息!$B$2:$B$151,""),"")</f>
        <v>郑州</v>
      </c>
      <c r="C14" s="4" t="str">
        <f>IFERROR(_xlfn.XLOOKUP(A14,历史方案信息!$C$2:$C$151,历史方案信息!$A$2:$A$151,""),"")</f>
        <v>西北区</v>
      </c>
      <c r="D14" s="4" t="s">
        <v>177</v>
      </c>
      <c r="E14" s="4" t="s">
        <v>178</v>
      </c>
      <c r="F14" s="4" t="s">
        <v>179</v>
      </c>
      <c r="G14" s="10" t="s">
        <v>180</v>
      </c>
      <c r="H14" s="4">
        <v>15890058791</v>
      </c>
      <c r="I14" s="4" t="s">
        <v>181</v>
      </c>
      <c r="J14" s="4" t="s">
        <v>182</v>
      </c>
      <c r="K14" s="11">
        <v>0.06</v>
      </c>
      <c r="L14" s="8" t="s">
        <v>213</v>
      </c>
    </row>
    <row r="15" spans="1:12" ht="214.5">
      <c r="A15" s="3" t="s">
        <v>47</v>
      </c>
      <c r="B15" s="5" t="str">
        <f>IFERROR(_xlfn.XLOOKUP(A15,历史方案信息!$C$2:$C$151,历史方案信息!$B$2:$B$151,""),"")</f>
        <v>合肥</v>
      </c>
      <c r="C15" s="5" t="str">
        <f>IFERROR(_xlfn.XLOOKUP(A15,历史方案信息!$C$2:$C$151,历史方案信息!$A$2:$A$151,""),"")</f>
        <v>华东区</v>
      </c>
      <c r="D15" s="4" t="s">
        <v>183</v>
      </c>
      <c r="E15" s="5" t="s">
        <v>184</v>
      </c>
      <c r="F15" s="5" t="s">
        <v>185</v>
      </c>
      <c r="G15" s="6" t="s">
        <v>186</v>
      </c>
      <c r="H15" s="5">
        <v>18712179581</v>
      </c>
      <c r="I15" s="4" t="s">
        <v>187</v>
      </c>
      <c r="J15" s="4" t="s">
        <v>188</v>
      </c>
      <c r="K15" s="7">
        <v>0.06</v>
      </c>
      <c r="L15" s="8" t="s">
        <v>213</v>
      </c>
    </row>
    <row r="16" spans="1:12" ht="313.5">
      <c r="A16" s="3" t="s">
        <v>49</v>
      </c>
      <c r="B16" s="5" t="str">
        <f>IFERROR(_xlfn.XLOOKUP(A16,历史方案信息!$C$2:$C$151,历史方案信息!$B$2:$B$151,""),"")</f>
        <v>石家庄</v>
      </c>
      <c r="C16" s="5" t="str">
        <f>IFERROR(_xlfn.XLOOKUP(A16,历史方案信息!$C$2:$C$151,历史方案信息!$A$2:$A$151,""),"")</f>
        <v>华北区</v>
      </c>
      <c r="D16" s="4" t="s">
        <v>189</v>
      </c>
      <c r="E16" s="5">
        <v>31183809982</v>
      </c>
      <c r="F16" s="5" t="s">
        <v>190</v>
      </c>
      <c r="G16" s="6" t="s">
        <v>191</v>
      </c>
      <c r="H16" s="5">
        <v>17732120400</v>
      </c>
      <c r="I16" s="4" t="s">
        <v>192</v>
      </c>
      <c r="J16" s="4" t="s">
        <v>193</v>
      </c>
      <c r="K16" s="7">
        <v>0.06</v>
      </c>
      <c r="L16" s="8" t="s">
        <v>543</v>
      </c>
    </row>
    <row r="17" spans="1:12" ht="264">
      <c r="A17" s="3" t="s">
        <v>52</v>
      </c>
      <c r="B17" s="5" t="str">
        <f>IFERROR(_xlfn.XLOOKUP(A17,历史方案信息!$C$2:$C$151,历史方案信息!$B$2:$B$151,""),"")</f>
        <v>成都</v>
      </c>
      <c r="C17" s="5" t="str">
        <f>IFERROR(_xlfn.XLOOKUP(A17,历史方案信息!$C$2:$C$151,历史方案信息!$A$2:$A$151,""),"")</f>
        <v>西南区</v>
      </c>
      <c r="D17" s="4" t="s">
        <v>194</v>
      </c>
      <c r="E17" s="5">
        <v>18349375258</v>
      </c>
      <c r="F17" s="5" t="s">
        <v>195</v>
      </c>
      <c r="G17" s="6" t="s">
        <v>196</v>
      </c>
      <c r="H17" s="5">
        <v>18349375258</v>
      </c>
      <c r="I17" s="4" t="s">
        <v>197</v>
      </c>
      <c r="J17" s="4" t="s">
        <v>198</v>
      </c>
      <c r="K17" s="7">
        <v>0.06</v>
      </c>
      <c r="L17" s="8" t="s">
        <v>213</v>
      </c>
    </row>
    <row r="18" spans="1:12" ht="198">
      <c r="A18" s="3" t="s">
        <v>53</v>
      </c>
      <c r="B18" s="5" t="str">
        <f>IFERROR(_xlfn.XLOOKUP(A18,历史方案信息!$C$2:$C$151,历史方案信息!$B$2:$B$151,""),"")</f>
        <v/>
      </c>
      <c r="C18" s="5" t="str">
        <f>IFERROR(_xlfn.XLOOKUP(A18,历史方案信息!$C$2:$C$151,历史方案信息!$A$2:$A$151,""),"")</f>
        <v/>
      </c>
      <c r="D18" s="4" t="s">
        <v>199</v>
      </c>
      <c r="E18" s="5">
        <v>15379020517</v>
      </c>
      <c r="F18" s="5" t="s">
        <v>200</v>
      </c>
      <c r="G18" s="6" t="s">
        <v>201</v>
      </c>
      <c r="H18" s="5">
        <v>15379020517</v>
      </c>
      <c r="I18" s="4" t="s">
        <v>202</v>
      </c>
      <c r="J18" s="4" t="s">
        <v>111</v>
      </c>
      <c r="K18" s="7">
        <v>0.06</v>
      </c>
      <c r="L18" s="8" t="s">
        <v>213</v>
      </c>
    </row>
    <row r="19" spans="1:12" ht="231">
      <c r="A19" s="3" t="s">
        <v>54</v>
      </c>
      <c r="B19" s="5" t="str">
        <f>IFERROR(_xlfn.XLOOKUP(A19,历史方案信息!$C$2:$C$151,历史方案信息!$B$2:$B$151,""),"")</f>
        <v>西安</v>
      </c>
      <c r="C19" s="5" t="str">
        <f>IFERROR(_xlfn.XLOOKUP(A19,历史方案信息!$C$2:$C$151,历史方案信息!$A$2:$A$151,""),"")</f>
        <v>西北区</v>
      </c>
      <c r="D19" s="4" t="s">
        <v>203</v>
      </c>
      <c r="E19" s="5" t="s">
        <v>204</v>
      </c>
      <c r="F19" s="5" t="s">
        <v>205</v>
      </c>
      <c r="G19" s="6" t="s">
        <v>206</v>
      </c>
      <c r="H19" s="5">
        <v>18840389808</v>
      </c>
      <c r="I19" s="4" t="s">
        <v>207</v>
      </c>
      <c r="J19" s="4" t="s">
        <v>208</v>
      </c>
      <c r="K19" s="7">
        <v>0.06</v>
      </c>
      <c r="L19" s="8" t="s">
        <v>213</v>
      </c>
    </row>
    <row r="20" spans="1:12" ht="59.25">
      <c r="A20" s="3" t="s">
        <v>56</v>
      </c>
      <c r="B20" s="5" t="str">
        <f>IFERROR(_xlfn.XLOOKUP(A20,历史方案信息!$C$2:$C$151,历史方案信息!$B$2:$B$151,""),"")</f>
        <v>成都</v>
      </c>
      <c r="C20" s="5" t="str">
        <f>IFERROR(_xlfn.XLOOKUP(A20,历史方案信息!$C$2:$C$151,历史方案信息!$A$2:$A$151,""),"")</f>
        <v>西南区</v>
      </c>
      <c r="D20" s="4" t="s">
        <v>209</v>
      </c>
      <c r="E20" s="5" t="s">
        <v>210</v>
      </c>
      <c r="F20" s="5" t="s">
        <v>211</v>
      </c>
      <c r="G20" s="6" t="s">
        <v>212</v>
      </c>
      <c r="H20" s="5">
        <v>13550241780</v>
      </c>
      <c r="I20" s="5" t="s">
        <v>213</v>
      </c>
      <c r="J20" s="4" t="s">
        <v>123</v>
      </c>
      <c r="K20" s="7">
        <v>0.13</v>
      </c>
      <c r="L20" s="8" t="s">
        <v>544</v>
      </c>
    </row>
    <row r="21" spans="1:12" ht="214.5">
      <c r="A21" s="9" t="s">
        <v>57</v>
      </c>
      <c r="B21" s="4" t="str">
        <f>IFERROR(_xlfn.XLOOKUP(A21,历史方案信息!$C$2:$C$151,历史方案信息!$B$2:$B$151,""),"")</f>
        <v/>
      </c>
      <c r="C21" s="4" t="str">
        <f>IFERROR(_xlfn.XLOOKUP(A21,历史方案信息!$C$2:$C$151,历史方案信息!$A$2:$A$151,""),"")</f>
        <v/>
      </c>
      <c r="D21" s="4" t="s">
        <v>214</v>
      </c>
      <c r="E21" s="5" t="s">
        <v>215</v>
      </c>
      <c r="F21" s="5" t="s">
        <v>216</v>
      </c>
      <c r="G21" s="6" t="s">
        <v>217</v>
      </c>
      <c r="H21" s="5">
        <v>13602820901</v>
      </c>
      <c r="I21" s="4" t="s">
        <v>218</v>
      </c>
      <c r="J21" s="4" t="s">
        <v>219</v>
      </c>
      <c r="K21" s="7">
        <v>0.06</v>
      </c>
      <c r="L21" s="8" t="s">
        <v>545</v>
      </c>
    </row>
    <row r="22" spans="1:12" ht="49.5">
      <c r="A22" s="3" t="s">
        <v>58</v>
      </c>
      <c r="B22" s="5" t="str">
        <f>IFERROR(_xlfn.XLOOKUP(A22,历史方案信息!$C$2:$C$151,历史方案信息!$B$2:$B$151,""),"")</f>
        <v>黑吉</v>
      </c>
      <c r="C22" s="5" t="str">
        <f>IFERROR(_xlfn.XLOOKUP(A22,历史方案信息!$C$2:$C$151,历史方案信息!$A$2:$A$151,""),"")</f>
        <v>东北区</v>
      </c>
      <c r="D22" s="4" t="s">
        <v>220</v>
      </c>
      <c r="E22" s="5" t="s">
        <v>221</v>
      </c>
      <c r="F22" s="5" t="s">
        <v>222</v>
      </c>
      <c r="G22" s="6" t="s">
        <v>223</v>
      </c>
      <c r="H22" s="5">
        <v>15584329559</v>
      </c>
      <c r="I22" s="5" t="s">
        <v>224</v>
      </c>
      <c r="J22" s="4" t="s">
        <v>225</v>
      </c>
      <c r="K22" s="5" t="s">
        <v>130</v>
      </c>
      <c r="L22" s="8" t="s">
        <v>213</v>
      </c>
    </row>
    <row r="23" spans="1:12" ht="165">
      <c r="A23" s="20" t="s">
        <v>60</v>
      </c>
      <c r="B23" s="18" t="str">
        <f>IFERROR(_xlfn.XLOOKUP(A23,历史方案信息!$C$2:$C$151,历史方案信息!$B$2:$B$151,""),"")</f>
        <v>沈阳</v>
      </c>
      <c r="C23" s="18" t="str">
        <f>IFERROR(_xlfn.XLOOKUP(A23,历史方案信息!$C$2:$C$151,历史方案信息!$A$2:$A$151,""),"")</f>
        <v>东北区</v>
      </c>
      <c r="D23" s="17" t="s">
        <v>226</v>
      </c>
      <c r="E23" s="18" t="s">
        <v>227</v>
      </c>
      <c r="F23" s="18" t="s">
        <v>228</v>
      </c>
      <c r="G23" s="6" t="s">
        <v>229</v>
      </c>
      <c r="H23" s="18">
        <v>18741035493</v>
      </c>
      <c r="I23" s="17" t="s">
        <v>230</v>
      </c>
      <c r="J23" s="17" t="s">
        <v>117</v>
      </c>
      <c r="K23" s="21">
        <v>0.06</v>
      </c>
      <c r="L23" s="19" t="s">
        <v>213</v>
      </c>
    </row>
    <row r="24" spans="1:12" ht="132">
      <c r="A24" s="3" t="s">
        <v>61</v>
      </c>
      <c r="B24" s="5" t="str">
        <f>IFERROR(_xlfn.XLOOKUP(A24,历史方案信息!$C$2:$C$151,历史方案信息!$B$2:$B$151,""),"")</f>
        <v>沈阳</v>
      </c>
      <c r="C24" s="5" t="str">
        <f>IFERROR(_xlfn.XLOOKUP(A24,历史方案信息!$C$2:$C$151,历史方案信息!$A$2:$A$151,""),"")</f>
        <v>东北区</v>
      </c>
      <c r="D24" s="4" t="s">
        <v>231</v>
      </c>
      <c r="E24" s="5" t="s">
        <v>232</v>
      </c>
      <c r="F24" s="5" t="s">
        <v>233</v>
      </c>
      <c r="G24" s="6" t="s">
        <v>234</v>
      </c>
      <c r="H24" s="5">
        <v>13130478603</v>
      </c>
      <c r="I24" s="4" t="s">
        <v>235</v>
      </c>
      <c r="J24" s="4" t="s">
        <v>117</v>
      </c>
      <c r="K24" s="7">
        <v>0.13</v>
      </c>
      <c r="L24" s="8" t="s">
        <v>213</v>
      </c>
    </row>
    <row r="25" spans="1:12" ht="247.5">
      <c r="A25" s="3" t="s">
        <v>62</v>
      </c>
      <c r="B25" s="5" t="str">
        <f>IFERROR(_xlfn.XLOOKUP(A25,历史方案信息!$C$2:$C$151,历史方案信息!$B$2:$B$151,""),"")</f>
        <v>杭州</v>
      </c>
      <c r="C25" s="5" t="str">
        <f>IFERROR(_xlfn.XLOOKUP(A25,历史方案信息!$C$2:$C$151,历史方案信息!$A$2:$A$151,""),"")</f>
        <v>华东区</v>
      </c>
      <c r="D25" s="4" t="s">
        <v>236</v>
      </c>
      <c r="E25" s="5">
        <v>15067157785</v>
      </c>
      <c r="F25" s="5" t="s">
        <v>237</v>
      </c>
      <c r="G25" s="6" t="s">
        <v>238</v>
      </c>
      <c r="H25" s="5">
        <v>15067157785</v>
      </c>
      <c r="I25" s="4" t="s">
        <v>239</v>
      </c>
      <c r="J25" s="4" t="s">
        <v>188</v>
      </c>
      <c r="K25" s="7">
        <v>0.06</v>
      </c>
      <c r="L25" s="8" t="s">
        <v>213</v>
      </c>
    </row>
    <row r="26" spans="1:12" ht="247.5">
      <c r="A26" s="3" t="s">
        <v>63</v>
      </c>
      <c r="B26" s="5" t="str">
        <f>IFERROR(_xlfn.XLOOKUP(A26,历史方案信息!$C$2:$C$151,历史方案信息!$B$2:$B$151,""),"")</f>
        <v>北京</v>
      </c>
      <c r="C26" s="5" t="str">
        <f>IFERROR(_xlfn.XLOOKUP(A26,历史方案信息!$C$2:$C$151,历史方案信息!$A$2:$A$151,""),"")</f>
        <v>华北区</v>
      </c>
      <c r="D26" s="4" t="s">
        <v>240</v>
      </c>
      <c r="E26" s="5">
        <v>13311118969</v>
      </c>
      <c r="F26" s="5" t="s">
        <v>241</v>
      </c>
      <c r="G26" s="6" t="s">
        <v>242</v>
      </c>
      <c r="H26" s="5">
        <v>13311118969</v>
      </c>
      <c r="I26" s="4" t="s">
        <v>243</v>
      </c>
      <c r="J26" s="4" t="s">
        <v>244</v>
      </c>
      <c r="K26" s="7">
        <v>0.06</v>
      </c>
      <c r="L26" s="8" t="s">
        <v>213</v>
      </c>
    </row>
    <row r="27" spans="1:12" ht="297">
      <c r="A27" s="22" t="s">
        <v>65</v>
      </c>
      <c r="B27" s="32" t="str">
        <f>IFERROR(_xlfn.XLOOKUP(A27,历史方案信息!$C$2:$C$151,历史方案信息!$B$2:$B$151,""),"")</f>
        <v>石家庄</v>
      </c>
      <c r="C27" s="32" t="str">
        <f>IFERROR(_xlfn.XLOOKUP(A27,历史方案信息!$C$2:$C$151,历史方案信息!$A$2:$A$151,""),"")</f>
        <v>华北区</v>
      </c>
      <c r="D27" s="17" t="s">
        <v>546</v>
      </c>
      <c r="E27" s="18" t="s">
        <v>213</v>
      </c>
      <c r="F27" s="18" t="s">
        <v>246</v>
      </c>
      <c r="G27" s="6" t="s">
        <v>247</v>
      </c>
      <c r="H27" s="18">
        <v>18716075943</v>
      </c>
      <c r="I27" s="17" t="s">
        <v>248</v>
      </c>
      <c r="J27" s="17" t="s">
        <v>117</v>
      </c>
      <c r="K27" s="21">
        <v>0.03</v>
      </c>
      <c r="L27" s="19" t="s">
        <v>539</v>
      </c>
    </row>
    <row r="28" spans="1:12" ht="198">
      <c r="A28" s="3" t="s">
        <v>66</v>
      </c>
      <c r="B28" s="5" t="str">
        <f>IFERROR(_xlfn.XLOOKUP(A28,历史方案信息!$C$2:$C$151,历史方案信息!$B$2:$B$151,""),"")</f>
        <v>南昌</v>
      </c>
      <c r="C28" s="5" t="str">
        <f>IFERROR(_xlfn.XLOOKUP(A28,历史方案信息!$C$2:$C$151,历史方案信息!$A$2:$A$151,""),"")</f>
        <v>华南区</v>
      </c>
      <c r="D28" s="4" t="s">
        <v>249</v>
      </c>
      <c r="E28" s="5" t="s">
        <v>250</v>
      </c>
      <c r="F28" s="5" t="s">
        <v>251</v>
      </c>
      <c r="G28" s="6" t="s">
        <v>252</v>
      </c>
      <c r="H28" s="5">
        <v>13870966433</v>
      </c>
      <c r="I28" s="4" t="s">
        <v>253</v>
      </c>
      <c r="J28" s="4" t="s">
        <v>117</v>
      </c>
      <c r="K28" s="5" t="s">
        <v>213</v>
      </c>
      <c r="L28" s="8" t="s">
        <v>213</v>
      </c>
    </row>
    <row r="29" spans="1:12" ht="181.5">
      <c r="A29" s="9" t="s">
        <v>68</v>
      </c>
      <c r="B29" s="4" t="str">
        <f>IFERROR(_xlfn.XLOOKUP(A29,历史方案信息!$C$2:$C$151,历史方案信息!$B$2:$B$151,""),"")</f>
        <v>长沙</v>
      </c>
      <c r="C29" s="4" t="str">
        <f>IFERROR(_xlfn.XLOOKUP(A29,历史方案信息!$C$2:$C$151,历史方案信息!$A$2:$A$151,""),"")</f>
        <v>华南区</v>
      </c>
      <c r="D29" s="4" t="s">
        <v>254</v>
      </c>
      <c r="E29" s="4" t="s">
        <v>255</v>
      </c>
      <c r="F29" s="4" t="s">
        <v>256</v>
      </c>
      <c r="G29" s="10" t="s">
        <v>257</v>
      </c>
      <c r="H29" s="4">
        <v>13574115681</v>
      </c>
      <c r="I29" s="4" t="s">
        <v>258</v>
      </c>
      <c r="J29" s="4" t="s">
        <v>111</v>
      </c>
      <c r="K29" s="11">
        <v>0.06</v>
      </c>
      <c r="L29" s="8" t="s">
        <v>547</v>
      </c>
    </row>
    <row r="30" spans="1:12" ht="181.5">
      <c r="A30" s="3" t="s">
        <v>70</v>
      </c>
      <c r="B30" s="5" t="str">
        <f>IFERROR(_xlfn.XLOOKUP(A30,历史方案信息!$C$2:$C$151,历史方案信息!$B$2:$B$151,""),"")</f>
        <v>海南</v>
      </c>
      <c r="C30" s="5" t="str">
        <f>IFERROR(_xlfn.XLOOKUP(A30,历史方案信息!$C$2:$C$151,历史方案信息!$A$2:$A$151,""),"")</f>
        <v>华南区</v>
      </c>
      <c r="D30" s="4" t="s">
        <v>259</v>
      </c>
      <c r="E30" s="4" t="s">
        <v>260</v>
      </c>
      <c r="F30" s="5" t="s">
        <v>261</v>
      </c>
      <c r="G30" s="6" t="s">
        <v>262</v>
      </c>
      <c r="H30" s="5">
        <v>13876685747</v>
      </c>
      <c r="I30" s="4" t="s">
        <v>263</v>
      </c>
      <c r="J30" s="4" t="s">
        <v>129</v>
      </c>
      <c r="K30" s="7">
        <v>0.13</v>
      </c>
      <c r="L30" s="8" t="s">
        <v>213</v>
      </c>
    </row>
    <row r="31" spans="1:12" ht="247.5">
      <c r="A31" s="9" t="s">
        <v>72</v>
      </c>
      <c r="B31" s="4" t="str">
        <f>IFERROR(_xlfn.XLOOKUP(A31,历史方案信息!$C$2:$C$151,历史方案信息!$B$2:$B$151,""),"")</f>
        <v/>
      </c>
      <c r="C31" s="4" t="str">
        <f>IFERROR(_xlfn.XLOOKUP(A31,历史方案信息!$C$2:$C$151,历史方案信息!$A$2:$A$151,""),"")</f>
        <v/>
      </c>
      <c r="D31" s="4" t="s">
        <v>264</v>
      </c>
      <c r="E31" s="4" t="s">
        <v>265</v>
      </c>
      <c r="F31" s="4" t="s">
        <v>266</v>
      </c>
      <c r="G31" s="10" t="s">
        <v>267</v>
      </c>
      <c r="H31" s="4">
        <v>18123650463</v>
      </c>
      <c r="I31" s="4" t="s">
        <v>268</v>
      </c>
      <c r="J31" s="4" t="s">
        <v>269</v>
      </c>
      <c r="K31" s="11">
        <v>0.06</v>
      </c>
      <c r="L31" s="8" t="s">
        <v>213</v>
      </c>
    </row>
    <row r="32" spans="1:12" ht="214.5">
      <c r="A32" s="3" t="s">
        <v>74</v>
      </c>
      <c r="B32" s="5" t="str">
        <f>IFERROR(_xlfn.XLOOKUP(A32,历史方案信息!$C$2:$C$151,历史方案信息!$B$2:$B$151,""),"")</f>
        <v>济南</v>
      </c>
      <c r="C32" s="5" t="str">
        <f>IFERROR(_xlfn.XLOOKUP(A32,历史方案信息!$C$2:$C$151,历史方案信息!$A$2:$A$151,""),"")</f>
        <v>华北区</v>
      </c>
      <c r="D32" s="4" t="s">
        <v>270</v>
      </c>
      <c r="E32" s="5" t="s">
        <v>271</v>
      </c>
      <c r="F32" s="5" t="s">
        <v>272</v>
      </c>
      <c r="G32" s="10" t="s">
        <v>273</v>
      </c>
      <c r="H32" s="5">
        <v>18660812091</v>
      </c>
      <c r="I32" s="4" t="s">
        <v>274</v>
      </c>
      <c r="J32" s="4" t="s">
        <v>275</v>
      </c>
      <c r="K32" s="7">
        <v>0.06</v>
      </c>
      <c r="L32" s="8" t="s">
        <v>213</v>
      </c>
    </row>
    <row r="33" spans="1:12" ht="280.5">
      <c r="A33" s="9" t="s">
        <v>76</v>
      </c>
      <c r="B33" s="4" t="str">
        <f>IFERROR(_xlfn.XLOOKUP(A33,历史方案信息!$C$2:$C$151,历史方案信息!$B$2:$B$151,""),"")</f>
        <v/>
      </c>
      <c r="C33" s="4" t="str">
        <f>IFERROR(_xlfn.XLOOKUP(A33,历史方案信息!$C$2:$C$151,历史方案信息!$A$2:$A$151,""),"")</f>
        <v/>
      </c>
      <c r="D33" s="4" t="s">
        <v>276</v>
      </c>
      <c r="E33" s="4">
        <v>13847134917</v>
      </c>
      <c r="F33" s="4" t="s">
        <v>277</v>
      </c>
      <c r="G33" s="10" t="s">
        <v>278</v>
      </c>
      <c r="H33" s="4">
        <v>15148213495</v>
      </c>
      <c r="I33" s="4" t="s">
        <v>279</v>
      </c>
      <c r="J33" s="4" t="s">
        <v>117</v>
      </c>
      <c r="K33" s="7">
        <v>0.03</v>
      </c>
      <c r="L33" s="8" t="s">
        <v>548</v>
      </c>
    </row>
    <row r="34" spans="1:12" ht="214.5">
      <c r="A34" s="23" t="s">
        <v>78</v>
      </c>
      <c r="B34" s="59" t="str">
        <f>IFERROR(_xlfn.XLOOKUP(A34,历史方案信息!$C$2:$C$151,历史方案信息!$B$2:$B$151,""),"")</f>
        <v/>
      </c>
      <c r="C34" s="59" t="str">
        <f>IFERROR(_xlfn.XLOOKUP(A34,历史方案信息!$C$2:$C$151,历史方案信息!$A$2:$A$151,""),"")</f>
        <v/>
      </c>
      <c r="D34" s="4" t="s">
        <v>280</v>
      </c>
      <c r="E34" s="4" t="s">
        <v>281</v>
      </c>
      <c r="F34" s="4" t="s">
        <v>282</v>
      </c>
      <c r="G34" s="10" t="s">
        <v>283</v>
      </c>
      <c r="H34" s="4">
        <v>13888203183</v>
      </c>
      <c r="I34" s="4" t="s">
        <v>284</v>
      </c>
      <c r="J34" s="4" t="s">
        <v>117</v>
      </c>
      <c r="K34" s="11">
        <v>0.13</v>
      </c>
      <c r="L34" s="8" t="s">
        <v>213</v>
      </c>
    </row>
    <row r="35" spans="1:12" ht="49.5">
      <c r="A35" s="9" t="s">
        <v>80</v>
      </c>
      <c r="B35" s="4" t="str">
        <f>IFERROR(_xlfn.XLOOKUP(A35,历史方案信息!$C$2:$C$151,历史方案信息!$B$2:$B$151,""),"")</f>
        <v>成都</v>
      </c>
      <c r="C35" s="4" t="str">
        <f>IFERROR(_xlfn.XLOOKUP(A35,历史方案信息!$C$2:$C$151,历史方案信息!$A$2:$A$151,""),"")</f>
        <v>西南区</v>
      </c>
      <c r="D35" s="4" t="s">
        <v>285</v>
      </c>
      <c r="E35" s="4" t="s">
        <v>286</v>
      </c>
      <c r="F35" s="4" t="s">
        <v>287</v>
      </c>
      <c r="G35" s="6" t="s">
        <v>288</v>
      </c>
      <c r="H35" s="4">
        <v>15823546260</v>
      </c>
      <c r="I35" s="5" t="s">
        <v>289</v>
      </c>
      <c r="J35" s="4" t="s">
        <v>117</v>
      </c>
      <c r="K35" s="11">
        <v>0.13</v>
      </c>
      <c r="L35" s="8" t="s">
        <v>547</v>
      </c>
    </row>
    <row r="36" spans="1:12" ht="198">
      <c r="A36" s="9" t="s">
        <v>81</v>
      </c>
      <c r="B36" s="4" t="str">
        <f>IFERROR(_xlfn.XLOOKUP(A36,历史方案信息!$C$2:$C$151,历史方案信息!$B$2:$B$151,""),"")</f>
        <v>南京</v>
      </c>
      <c r="C36" s="4" t="str">
        <f>IFERROR(_xlfn.XLOOKUP(A36,历史方案信息!$C$2:$C$151,历史方案信息!$A$2:$A$151,""),"")</f>
        <v>华东区</v>
      </c>
      <c r="D36" s="4" t="s">
        <v>290</v>
      </c>
      <c r="E36" s="4" t="s">
        <v>291</v>
      </c>
      <c r="F36" s="4" t="s">
        <v>292</v>
      </c>
      <c r="G36" s="10" t="s">
        <v>293</v>
      </c>
      <c r="H36" s="4">
        <v>13913040353</v>
      </c>
      <c r="I36" s="4" t="s">
        <v>294</v>
      </c>
      <c r="J36" s="4" t="s">
        <v>295</v>
      </c>
      <c r="K36" s="11">
        <v>0.03</v>
      </c>
      <c r="L36" s="8" t="s">
        <v>549</v>
      </c>
    </row>
    <row r="37" spans="1:12" ht="245.25">
      <c r="A37" s="9" t="s">
        <v>83</v>
      </c>
      <c r="B37" s="4" t="str">
        <f>IFERROR(_xlfn.XLOOKUP(A37,历史方案信息!$C$2:$C$151,历史方案信息!$B$2:$B$151,""),"")</f>
        <v>郑州</v>
      </c>
      <c r="C37" s="4" t="str">
        <f>IFERROR(_xlfn.XLOOKUP(A37,历史方案信息!$C$2:$C$151,历史方案信息!$A$2:$A$151,""),"")</f>
        <v>西北区</v>
      </c>
      <c r="D37" s="4" t="s">
        <v>296</v>
      </c>
      <c r="E37" s="4" t="s">
        <v>297</v>
      </c>
      <c r="F37" s="4" t="s">
        <v>298</v>
      </c>
      <c r="G37" s="10" t="s">
        <v>299</v>
      </c>
      <c r="H37" s="4">
        <v>18614962807</v>
      </c>
      <c r="I37" s="24" t="s">
        <v>300</v>
      </c>
      <c r="J37" s="9" t="s">
        <v>301</v>
      </c>
      <c r="K37" s="11">
        <v>0.06</v>
      </c>
      <c r="L37" s="8" t="s">
        <v>213</v>
      </c>
    </row>
    <row r="38" spans="1:12" ht="247.5">
      <c r="A38" s="9" t="s">
        <v>84</v>
      </c>
      <c r="B38" s="4" t="str">
        <f>IFERROR(_xlfn.XLOOKUP(A38,历史方案信息!$C$2:$C$151,历史方案信息!$B$2:$B$151,""),"")</f>
        <v/>
      </c>
      <c r="C38" s="4" t="str">
        <f>IFERROR(_xlfn.XLOOKUP(A38,历史方案信息!$C$2:$C$151,历史方案信息!$A$2:$A$151,""),"")</f>
        <v/>
      </c>
      <c r="D38" s="4" t="s">
        <v>302</v>
      </c>
      <c r="E38" s="4" t="s">
        <v>303</v>
      </c>
      <c r="F38" s="4" t="s">
        <v>304</v>
      </c>
      <c r="G38" s="10" t="s">
        <v>305</v>
      </c>
      <c r="H38" s="4">
        <v>15998351074</v>
      </c>
      <c r="I38" s="25" t="s">
        <v>306</v>
      </c>
      <c r="J38" s="4" t="s">
        <v>117</v>
      </c>
      <c r="K38" s="11">
        <v>0.13</v>
      </c>
      <c r="L38" s="8" t="s">
        <v>549</v>
      </c>
    </row>
    <row r="39" spans="1:12" ht="264">
      <c r="A39" s="20" t="s">
        <v>85</v>
      </c>
      <c r="B39" s="18" t="str">
        <f>IFERROR(_xlfn.XLOOKUP(A39,历史方案信息!$C$2:$C$151,历史方案信息!$B$2:$B$151,""),"")</f>
        <v>合肥</v>
      </c>
      <c r="C39" s="18" t="str">
        <f>IFERROR(_xlfn.XLOOKUP(A39,历史方案信息!$C$2:$C$151,历史方案信息!$A$2:$A$151,""),"")</f>
        <v>华东区</v>
      </c>
      <c r="D39" s="17" t="s">
        <v>307</v>
      </c>
      <c r="E39" s="18" t="s">
        <v>308</v>
      </c>
      <c r="F39" s="18" t="s">
        <v>309</v>
      </c>
      <c r="G39" s="6" t="s">
        <v>310</v>
      </c>
      <c r="H39" s="18">
        <v>17333079798</v>
      </c>
      <c r="I39" s="17" t="s">
        <v>311</v>
      </c>
      <c r="J39" s="17" t="s">
        <v>123</v>
      </c>
      <c r="K39" s="21">
        <v>0.13</v>
      </c>
      <c r="L39" s="19" t="s">
        <v>213</v>
      </c>
    </row>
    <row r="40" spans="1:12" ht="231">
      <c r="A40" s="9" t="s">
        <v>86</v>
      </c>
      <c r="B40" s="4" t="str">
        <f>IFERROR(_xlfn.XLOOKUP(A40,历史方案信息!$C$2:$C$151,历史方案信息!$B$2:$B$151,""),"")</f>
        <v>南昌</v>
      </c>
      <c r="C40" s="4" t="str">
        <f>IFERROR(_xlfn.XLOOKUP(A40,历史方案信息!$C$2:$C$151,历史方案信息!$A$2:$A$151,""),"")</f>
        <v>华南区</v>
      </c>
      <c r="D40" s="4" t="s">
        <v>312</v>
      </c>
      <c r="E40" s="4">
        <v>18870083757</v>
      </c>
      <c r="F40" s="4" t="s">
        <v>313</v>
      </c>
      <c r="G40" s="10" t="s">
        <v>314</v>
      </c>
      <c r="H40" s="4">
        <v>18870083757</v>
      </c>
      <c r="I40" s="4" t="s">
        <v>315</v>
      </c>
      <c r="J40" s="4" t="s">
        <v>117</v>
      </c>
      <c r="K40" s="11">
        <v>0.13</v>
      </c>
      <c r="L40" s="8" t="s">
        <v>213</v>
      </c>
    </row>
    <row r="41" spans="1:12" ht="231">
      <c r="A41" s="9" t="s">
        <v>87</v>
      </c>
      <c r="B41" s="4" t="str">
        <f>IFERROR(_xlfn.XLOOKUP(A41,历史方案信息!$C$2:$C$151,历史方案信息!$B$2:$B$151,""),"")</f>
        <v>西安</v>
      </c>
      <c r="C41" s="4" t="str">
        <f>IFERROR(_xlfn.XLOOKUP(A41,历史方案信息!$C$2:$C$151,历史方案信息!$A$2:$A$151,""),"")</f>
        <v>西北区</v>
      </c>
      <c r="D41" s="4" t="s">
        <v>316</v>
      </c>
      <c r="E41" s="4" t="s">
        <v>317</v>
      </c>
      <c r="F41" s="4" t="s">
        <v>318</v>
      </c>
      <c r="G41" s="10" t="s">
        <v>319</v>
      </c>
      <c r="H41" s="4">
        <v>18729109671</v>
      </c>
      <c r="I41" s="4" t="s">
        <v>320</v>
      </c>
      <c r="J41" s="4" t="s">
        <v>321</v>
      </c>
      <c r="K41" s="11">
        <v>0.06</v>
      </c>
      <c r="L41" s="8" t="s">
        <v>213</v>
      </c>
    </row>
    <row r="42" spans="1:12" ht="181.5">
      <c r="A42" s="3" t="s">
        <v>88</v>
      </c>
      <c r="B42" s="5" t="str">
        <f>IFERROR(_xlfn.XLOOKUP(A42,历史方案信息!$C$2:$C$151,历史方案信息!$B$2:$B$151,""),"")</f>
        <v/>
      </c>
      <c r="C42" s="5" t="str">
        <f>IFERROR(_xlfn.XLOOKUP(A42,历史方案信息!$C$2:$C$151,历史方案信息!$A$2:$A$151,""),"")</f>
        <v/>
      </c>
      <c r="D42" s="26" t="s">
        <v>322</v>
      </c>
      <c r="E42" s="5">
        <v>13940162937</v>
      </c>
      <c r="F42" s="5" t="s">
        <v>323</v>
      </c>
      <c r="G42" s="12" t="s">
        <v>324</v>
      </c>
      <c r="H42" s="5">
        <v>13940162937</v>
      </c>
      <c r="I42" s="4" t="s">
        <v>325</v>
      </c>
      <c r="J42" s="4" t="s">
        <v>117</v>
      </c>
      <c r="K42" s="7">
        <v>0.03</v>
      </c>
      <c r="L42" s="8" t="s">
        <v>550</v>
      </c>
    </row>
    <row r="43" spans="1:12" ht="264">
      <c r="A43" s="9" t="s">
        <v>89</v>
      </c>
      <c r="B43" s="4" t="str">
        <f>IFERROR(_xlfn.XLOOKUP(A43,历史方案信息!$C$2:$C$151,历史方案信息!$B$2:$B$151,""),"")</f>
        <v>广州</v>
      </c>
      <c r="C43" s="4" t="str">
        <f>IFERROR(_xlfn.XLOOKUP(A43,历史方案信息!$C$2:$C$151,历史方案信息!$A$2:$A$151,""),"")</f>
        <v>华南区</v>
      </c>
      <c r="D43" s="4" t="s">
        <v>326</v>
      </c>
      <c r="E43" s="4" t="s">
        <v>327</v>
      </c>
      <c r="F43" s="4" t="s">
        <v>328</v>
      </c>
      <c r="G43" s="10" t="s">
        <v>329</v>
      </c>
      <c r="H43" s="4">
        <v>13664948125</v>
      </c>
      <c r="I43" s="4" t="s">
        <v>330</v>
      </c>
      <c r="J43" s="4" t="s">
        <v>111</v>
      </c>
      <c r="K43" s="7">
        <v>0.06</v>
      </c>
      <c r="L43" s="8" t="s">
        <v>213</v>
      </c>
    </row>
    <row r="44" spans="1:12" ht="247.5">
      <c r="A44" s="9" t="s">
        <v>90</v>
      </c>
      <c r="B44" s="4" t="str">
        <f>IFERROR(_xlfn.XLOOKUP(A44,历史方案信息!$C$2:$C$151,历史方案信息!$B$2:$B$151,""),"")</f>
        <v>南昌</v>
      </c>
      <c r="C44" s="4" t="str">
        <f>IFERROR(_xlfn.XLOOKUP(A44,历史方案信息!$C$2:$C$151,历史方案信息!$A$2:$A$151,""),"")</f>
        <v>华南区</v>
      </c>
      <c r="D44" s="4" t="s">
        <v>331</v>
      </c>
      <c r="E44" s="4">
        <v>13330098353</v>
      </c>
      <c r="F44" s="4" t="s">
        <v>332</v>
      </c>
      <c r="G44" s="10" t="s">
        <v>333</v>
      </c>
      <c r="H44" s="4">
        <v>18079123790</v>
      </c>
      <c r="I44" s="4" t="s">
        <v>334</v>
      </c>
      <c r="J44" s="4" t="s">
        <v>171</v>
      </c>
      <c r="K44" s="11">
        <v>0.06</v>
      </c>
      <c r="L44" s="8" t="s">
        <v>542</v>
      </c>
    </row>
    <row r="45" spans="1:12" ht="198">
      <c r="A45" s="3" t="s">
        <v>91</v>
      </c>
      <c r="B45" s="5" t="str">
        <f>IFERROR(_xlfn.XLOOKUP(A45,历史方案信息!$C$2:$C$151,历史方案信息!$B$2:$B$151,""),"")</f>
        <v/>
      </c>
      <c r="C45" s="5" t="str">
        <f>IFERROR(_xlfn.XLOOKUP(A45,历史方案信息!$C$2:$C$151,历史方案信息!$A$2:$A$151,""),"")</f>
        <v/>
      </c>
      <c r="D45" s="4" t="s">
        <v>335</v>
      </c>
      <c r="E45" s="5" t="s">
        <v>336</v>
      </c>
      <c r="F45" s="5" t="s">
        <v>337</v>
      </c>
      <c r="G45" s="6" t="s">
        <v>338</v>
      </c>
      <c r="H45" s="5">
        <v>18142804355</v>
      </c>
      <c r="I45" s="4" t="s">
        <v>339</v>
      </c>
      <c r="J45" s="4" t="s">
        <v>117</v>
      </c>
      <c r="K45" s="7">
        <v>0.03</v>
      </c>
      <c r="L45" s="8" t="s">
        <v>213</v>
      </c>
    </row>
    <row r="46" spans="1:12" ht="214.5">
      <c r="A46" s="9" t="s">
        <v>92</v>
      </c>
      <c r="B46" s="4" t="str">
        <f>IFERROR(_xlfn.XLOOKUP(A46,历史方案信息!$C$2:$C$151,历史方案信息!$B$2:$B$151,""),"")</f>
        <v>北京</v>
      </c>
      <c r="C46" s="4" t="str">
        <f>IFERROR(_xlfn.XLOOKUP(A46,历史方案信息!$C$2:$C$151,历史方案信息!$A$2:$A$151,""),"")</f>
        <v>华北区</v>
      </c>
      <c r="D46" s="4" t="s">
        <v>340</v>
      </c>
      <c r="E46" s="4" t="s">
        <v>341</v>
      </c>
      <c r="F46" s="4" t="s">
        <v>342</v>
      </c>
      <c r="G46" s="10" t="s">
        <v>343</v>
      </c>
      <c r="H46" s="4">
        <v>15801503575</v>
      </c>
      <c r="I46" s="4" t="s">
        <v>344</v>
      </c>
      <c r="J46" s="4" t="s">
        <v>345</v>
      </c>
      <c r="K46" s="7">
        <v>0.03</v>
      </c>
      <c r="L46" s="8" t="s">
        <v>539</v>
      </c>
    </row>
    <row r="47" spans="1:12" ht="181.5">
      <c r="A47" s="9" t="s">
        <v>93</v>
      </c>
      <c r="B47" s="4" t="str">
        <f>IFERROR(_xlfn.XLOOKUP(A47,历史方案信息!$C$2:$C$151,历史方案信息!$B$2:$B$151,""),"")</f>
        <v>西安</v>
      </c>
      <c r="C47" s="4" t="str">
        <f>IFERROR(_xlfn.XLOOKUP(A47,历史方案信息!$C$2:$C$151,历史方案信息!$A$2:$A$151,""),"")</f>
        <v>西北区</v>
      </c>
      <c r="D47" s="4" t="s">
        <v>346</v>
      </c>
      <c r="E47" s="4" t="s">
        <v>347</v>
      </c>
      <c r="F47" s="4" t="s">
        <v>348</v>
      </c>
      <c r="G47" s="10" t="s">
        <v>349</v>
      </c>
      <c r="H47" s="4">
        <v>13571085656</v>
      </c>
      <c r="I47" s="4" t="s">
        <v>350</v>
      </c>
      <c r="J47" s="4" t="s">
        <v>117</v>
      </c>
      <c r="K47" s="11">
        <v>0.13</v>
      </c>
      <c r="L47" s="8" t="s">
        <v>551</v>
      </c>
    </row>
    <row r="48" spans="1:12" ht="313.5">
      <c r="A48" s="27" t="s">
        <v>94</v>
      </c>
      <c r="B48" s="33" t="str">
        <f>IFERROR(_xlfn.XLOOKUP(A48,历史方案信息!$C$2:$C$151,历史方案信息!$B$2:$B$151,""),"")</f>
        <v>哈尔滨</v>
      </c>
      <c r="C48" s="33" t="str">
        <f>IFERROR(_xlfn.XLOOKUP(A48,历史方案信息!$C$2:$C$151,历史方案信息!$A$2:$A$151,""),"")</f>
        <v>东北区</v>
      </c>
      <c r="D48" s="26" t="s">
        <v>351</v>
      </c>
      <c r="E48" s="4" t="s">
        <v>213</v>
      </c>
      <c r="F48" s="4" t="s">
        <v>352</v>
      </c>
      <c r="G48" s="10" t="s">
        <v>353</v>
      </c>
      <c r="H48" s="4">
        <v>18645122699</v>
      </c>
      <c r="I48" s="4" t="s">
        <v>354</v>
      </c>
      <c r="J48" s="4" t="s">
        <v>213</v>
      </c>
      <c r="K48" s="4" t="s">
        <v>213</v>
      </c>
      <c r="L48" s="8" t="s">
        <v>213</v>
      </c>
    </row>
    <row r="49" spans="1:12" ht="181.5">
      <c r="A49" s="9" t="s">
        <v>96</v>
      </c>
      <c r="B49" s="4" t="str">
        <f>IFERROR(_xlfn.XLOOKUP(A49,历史方案信息!$C$2:$C$151,历史方案信息!$B$2:$B$151,""),"")</f>
        <v>南昌</v>
      </c>
      <c r="C49" s="4" t="str">
        <f>IFERROR(_xlfn.XLOOKUP(A49,历史方案信息!$C$2:$C$151,历史方案信息!$A$2:$A$151,""),"")</f>
        <v>华南区</v>
      </c>
      <c r="D49" s="4" t="s">
        <v>355</v>
      </c>
      <c r="E49" s="4" t="s">
        <v>213</v>
      </c>
      <c r="F49" s="4" t="s">
        <v>356</v>
      </c>
      <c r="G49" s="10" t="s">
        <v>357</v>
      </c>
      <c r="H49" s="4">
        <v>13687911089</v>
      </c>
      <c r="I49" s="4" t="s">
        <v>358</v>
      </c>
      <c r="J49" s="4" t="s">
        <v>117</v>
      </c>
      <c r="K49" s="11">
        <v>0.13</v>
      </c>
      <c r="L49" s="8" t="s">
        <v>552</v>
      </c>
    </row>
    <row r="50" spans="1:12" ht="231">
      <c r="A50" s="3" t="s">
        <v>97</v>
      </c>
      <c r="B50" s="5" t="str">
        <f>IFERROR(_xlfn.XLOOKUP(A50,历史方案信息!$C$2:$C$151,历史方案信息!$B$2:$B$151,""),"")</f>
        <v>北京</v>
      </c>
      <c r="C50" s="5" t="str">
        <f>IFERROR(_xlfn.XLOOKUP(A50,历史方案信息!$C$2:$C$151,历史方案信息!$A$2:$A$151,""),"")</f>
        <v>华北区</v>
      </c>
      <c r="D50" s="4" t="s">
        <v>359</v>
      </c>
      <c r="E50" s="5" t="s">
        <v>360</v>
      </c>
      <c r="F50" s="5" t="s">
        <v>361</v>
      </c>
      <c r="G50" s="6" t="s">
        <v>362</v>
      </c>
      <c r="H50" s="5">
        <v>13488828308</v>
      </c>
      <c r="I50" s="4" t="s">
        <v>363</v>
      </c>
      <c r="J50" s="4" t="s">
        <v>364</v>
      </c>
      <c r="K50" s="7">
        <v>0.06</v>
      </c>
      <c r="L50" s="8" t="s">
        <v>213</v>
      </c>
    </row>
    <row r="51" spans="1:12" ht="198">
      <c r="A51" s="9" t="s">
        <v>98</v>
      </c>
      <c r="B51" s="4" t="str">
        <f>IFERROR(_xlfn.XLOOKUP(A51,历史方案信息!$C$2:$C$151,历史方案信息!$B$2:$B$151,""),"")</f>
        <v/>
      </c>
      <c r="C51" s="4" t="str">
        <f>IFERROR(_xlfn.XLOOKUP(A51,历史方案信息!$C$2:$C$151,历史方案信息!$A$2:$A$151,""),"")</f>
        <v/>
      </c>
      <c r="D51" s="4" t="s">
        <v>365</v>
      </c>
      <c r="E51" s="5" t="s">
        <v>366</v>
      </c>
      <c r="F51" s="5" t="s">
        <v>367</v>
      </c>
      <c r="G51" s="10" t="s">
        <v>368</v>
      </c>
      <c r="H51" s="5">
        <v>18266659169</v>
      </c>
      <c r="I51" s="4" t="s">
        <v>369</v>
      </c>
      <c r="J51" s="4" t="s">
        <v>117</v>
      </c>
      <c r="K51" s="7">
        <v>0.06</v>
      </c>
      <c r="L51" s="8" t="s">
        <v>213</v>
      </c>
    </row>
    <row r="52" spans="1:12" ht="231">
      <c r="A52" s="28" t="s">
        <v>100</v>
      </c>
      <c r="B52" s="17" t="str">
        <f>IFERROR(_xlfn.XLOOKUP(A52,历史方案信息!$C$2:$C$151,历史方案信息!$B$2:$B$151,""),"")</f>
        <v>昆明</v>
      </c>
      <c r="C52" s="17" t="str">
        <f>IFERROR(_xlfn.XLOOKUP(A52,历史方案信息!$C$2:$C$151,历史方案信息!$A$2:$A$151,""),"")</f>
        <v>西南区</v>
      </c>
      <c r="D52" s="17" t="s">
        <v>370</v>
      </c>
      <c r="E52" s="17" t="s">
        <v>371</v>
      </c>
      <c r="F52" s="17" t="s">
        <v>372</v>
      </c>
      <c r="G52" s="29" t="s">
        <v>373</v>
      </c>
      <c r="H52" s="17">
        <v>13759187313</v>
      </c>
      <c r="I52" s="17" t="s">
        <v>374</v>
      </c>
      <c r="J52" s="17" t="s">
        <v>117</v>
      </c>
      <c r="K52" s="21">
        <v>0.03</v>
      </c>
      <c r="L52" s="19" t="s">
        <v>213</v>
      </c>
    </row>
  </sheetData>
  <autoFilter ref="A1:L1" xr:uid="{C5910CCA-2CEF-468C-AE40-15BFA005E6DB}"/>
  <phoneticPr fontId="23" type="noConversion"/>
  <hyperlinks>
    <hyperlink ref="G2" r:id="rId1" xr:uid="{CB38EAE4-8526-4414-A7DB-A23D3EEA2AEB}"/>
    <hyperlink ref="G3" r:id="rId2" xr:uid="{353B56B6-D57A-494E-AABF-BB8471E79B0E}"/>
    <hyperlink ref="G5" r:id="rId3" xr:uid="{FE8DEF98-8E6F-4A3F-BB91-6069FB8A5515}"/>
    <hyperlink ref="G6" r:id="rId4" xr:uid="{0CA5DE4A-416C-4253-9B4F-62D23319431F}"/>
    <hyperlink ref="G7" r:id="rId5" xr:uid="{11B68CEF-F8EA-4D48-864D-01CFF4882FC8}"/>
    <hyperlink ref="G8" r:id="rId6" xr:uid="{AD247129-812E-4545-8746-5BC37938F356}"/>
    <hyperlink ref="G9" r:id="rId7" xr:uid="{C16E5598-BA9A-4575-AAB0-AAD0CA03A518}"/>
    <hyperlink ref="G11" r:id="rId8" xr:uid="{770CF975-7F6E-44F0-A47A-91CCDB3869BE}"/>
    <hyperlink ref="G12" r:id="rId9" xr:uid="{13FF53AB-15CE-460F-95BA-5401553E711C}"/>
    <hyperlink ref="G13" r:id="rId10" xr:uid="{BA2402C3-3BCA-408E-921C-AE5E82E5DC91}"/>
    <hyperlink ref="G14" r:id="rId11" xr:uid="{6A007B1B-EF7F-4D6D-BAFA-BEAAA35BC591}"/>
    <hyperlink ref="G15" r:id="rId12" xr:uid="{4D0FB3AF-2CBF-42B1-9E63-08F732910FE8}"/>
    <hyperlink ref="G16" r:id="rId13" xr:uid="{5DDB5E06-158D-44C9-AA5F-E6883E83B8AB}"/>
    <hyperlink ref="G17" r:id="rId14" xr:uid="{71C27EC5-01E6-4A51-8ED0-2391D61F8C81}"/>
    <hyperlink ref="G18" r:id="rId15" xr:uid="{394E57C7-2451-4184-94F8-616C5CB6F95F}"/>
    <hyperlink ref="G19" r:id="rId16" xr:uid="{6AAD6FA6-4D8A-435A-B4CA-1070BF601148}"/>
    <hyperlink ref="G20" r:id="rId17" xr:uid="{F513D067-935C-4948-942B-0E70A68E21FE}"/>
    <hyperlink ref="G21" r:id="rId18" xr:uid="{E4502C80-8BF0-4E25-9F5B-9478FA515C96}"/>
    <hyperlink ref="G22" r:id="rId19" xr:uid="{1DBEDB0E-F374-44AD-A1CF-200A543912DB}"/>
    <hyperlink ref="G23" r:id="rId20" xr:uid="{D6277A7B-D146-4B21-BFC2-4E1EF2AFD8CF}"/>
    <hyperlink ref="G24" r:id="rId21" xr:uid="{52C3CD08-C657-4733-AA53-61AA09124FD1}"/>
    <hyperlink ref="G25" r:id="rId22" xr:uid="{3866CA87-82DB-448E-8A3F-A2FE168B4A77}"/>
    <hyperlink ref="G26" r:id="rId23" xr:uid="{BFC9B36F-43DA-4DDB-AD2C-54FE626608DC}"/>
    <hyperlink ref="G27" r:id="rId24" xr:uid="{0E823797-919C-4540-A9AD-9277A9DB2908}"/>
    <hyperlink ref="G28" r:id="rId25" xr:uid="{1F0F5505-DC09-4E0F-907D-40862CF7444E}"/>
    <hyperlink ref="G29" r:id="rId26" xr:uid="{E74B1164-8BE8-4F65-99A6-EED866471129}"/>
    <hyperlink ref="G30" r:id="rId27" xr:uid="{0443727C-6935-47FD-B93F-4866D176BF2C}"/>
    <hyperlink ref="G31" r:id="rId28" xr:uid="{4DDE9723-0461-4A3A-8A57-7102B13C8243}"/>
    <hyperlink ref="G32" r:id="rId29" xr:uid="{1F32FFC9-5D80-461D-999F-C3526B5BA91E}"/>
    <hyperlink ref="G33" r:id="rId30" xr:uid="{FA28574D-7E5A-4C51-AA70-05250E6619D2}"/>
    <hyperlink ref="G34" r:id="rId31" xr:uid="{AEFE8F7C-E267-42F1-9F84-BE476225C973}"/>
    <hyperlink ref="G35" r:id="rId32" xr:uid="{99AB3BCC-BEF0-4CBD-B78D-57D9FB872A05}"/>
    <hyperlink ref="G36" r:id="rId33" xr:uid="{93573452-CB15-4057-A30E-5BA2E15E8C70}"/>
    <hyperlink ref="G37" r:id="rId34" xr:uid="{8FCB7619-F1F9-4504-AA5B-81FB03CC7FDC}"/>
    <hyperlink ref="G38" r:id="rId35" xr:uid="{22601328-1783-4EE0-B02D-B414E952941F}"/>
    <hyperlink ref="G39" r:id="rId36" xr:uid="{3FE7B7E1-412E-4E09-866A-C0F0FEA79027}"/>
    <hyperlink ref="G40" r:id="rId37" xr:uid="{F89D5063-2057-4814-8373-65B43DB12D21}"/>
    <hyperlink ref="G41" r:id="rId38" xr:uid="{28ECE661-36F6-43DC-93B1-08F713FE33E2}"/>
    <hyperlink ref="G43" r:id="rId39" xr:uid="{38608A96-948C-4C0F-98E5-00407397016B}"/>
    <hyperlink ref="G44" r:id="rId40" xr:uid="{FEBE806C-994F-449E-94DA-CA0047AD8C3D}"/>
    <hyperlink ref="G45" r:id="rId41" xr:uid="{07A83DE1-4794-402B-BDB0-9596947CE56A}"/>
    <hyperlink ref="G46" r:id="rId42" xr:uid="{FB1FE4D4-B9A5-4DDD-AEBE-2AA54AD9F552}"/>
    <hyperlink ref="G47" r:id="rId43" xr:uid="{A5B472E5-E6A1-4FEC-A552-F6C9DC08F923}"/>
    <hyperlink ref="G48" r:id="rId44" xr:uid="{FB8B70CD-89AC-4E7A-8612-BEFEF5C34A16}"/>
    <hyperlink ref="G49" r:id="rId45" xr:uid="{16221551-1249-46D4-8047-C31877AAAF05}"/>
    <hyperlink ref="G50" r:id="rId46" xr:uid="{6E00371B-B07D-4870-B808-3FF0081C0A39}"/>
    <hyperlink ref="G51" r:id="rId47" xr:uid="{AB379582-41B3-491F-ADFF-44155A8067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7D09-B871-4A56-97B9-A41FD8223C68}">
  <sheetPr>
    <tabColor rgb="FF00B050"/>
  </sheetPr>
  <dimension ref="A1:K151"/>
  <sheetViews>
    <sheetView topLeftCell="B111" workbookViewId="0">
      <selection activeCell="H129" sqref="H129"/>
    </sheetView>
  </sheetViews>
  <sheetFormatPr defaultRowHeight="14.25"/>
  <cols>
    <col min="1" max="2" width="19.375" customWidth="1"/>
    <col min="3" max="3" width="24.75" customWidth="1"/>
    <col min="4" max="4" width="23.125" customWidth="1"/>
    <col min="5" max="5" width="57.125" customWidth="1"/>
    <col min="6" max="11" width="19.375" customWidth="1"/>
  </cols>
  <sheetData>
    <row r="1" spans="1:11" ht="16.5">
      <c r="A1" s="30" t="s">
        <v>2</v>
      </c>
      <c r="B1" s="31" t="s">
        <v>1</v>
      </c>
      <c r="C1" s="31" t="s">
        <v>0</v>
      </c>
      <c r="D1" s="31" t="s">
        <v>553</v>
      </c>
      <c r="E1" s="31" t="s">
        <v>554</v>
      </c>
      <c r="F1" s="31" t="s">
        <v>555</v>
      </c>
      <c r="G1" s="31" t="s">
        <v>556</v>
      </c>
      <c r="H1" s="31" t="s">
        <v>557</v>
      </c>
      <c r="I1" s="31" t="s">
        <v>558</v>
      </c>
      <c r="J1" s="31" t="s">
        <v>559</v>
      </c>
      <c r="K1" s="31" t="s">
        <v>16</v>
      </c>
    </row>
    <row r="2" spans="1:11" ht="16.5">
      <c r="A2" s="22" t="s">
        <v>19</v>
      </c>
      <c r="B2" s="32" t="s">
        <v>39</v>
      </c>
      <c r="C2" s="32" t="s">
        <v>83</v>
      </c>
      <c r="D2" s="4" t="s">
        <v>560</v>
      </c>
      <c r="E2" s="4" t="s">
        <v>382</v>
      </c>
      <c r="F2" s="33" t="s">
        <v>104</v>
      </c>
      <c r="G2" s="33" t="s">
        <v>561</v>
      </c>
      <c r="H2" s="34" t="s">
        <v>562</v>
      </c>
      <c r="I2" s="35" t="s">
        <v>563</v>
      </c>
      <c r="J2" s="36" t="s">
        <v>564</v>
      </c>
      <c r="K2" s="37"/>
    </row>
    <row r="3" spans="1:11" ht="16.5">
      <c r="A3" s="22" t="s">
        <v>29</v>
      </c>
      <c r="B3" s="32" t="s">
        <v>44</v>
      </c>
      <c r="C3" s="32" t="s">
        <v>43</v>
      </c>
      <c r="D3" s="4" t="s">
        <v>565</v>
      </c>
      <c r="E3" s="4" t="s">
        <v>385</v>
      </c>
      <c r="F3" s="33" t="s">
        <v>104</v>
      </c>
      <c r="G3" s="33" t="s">
        <v>561</v>
      </c>
      <c r="H3" s="38" t="s">
        <v>566</v>
      </c>
      <c r="I3" s="35" t="s">
        <v>567</v>
      </c>
      <c r="J3" s="36" t="s">
        <v>564</v>
      </c>
      <c r="K3" s="37"/>
    </row>
    <row r="4" spans="1:11" ht="16.5">
      <c r="A4" s="22" t="s">
        <v>29</v>
      </c>
      <c r="B4" s="32" t="s">
        <v>44</v>
      </c>
      <c r="C4" s="32" t="s">
        <v>43</v>
      </c>
      <c r="D4" s="4" t="s">
        <v>568</v>
      </c>
      <c r="E4" s="4" t="s">
        <v>389</v>
      </c>
      <c r="F4" s="33" t="s">
        <v>104</v>
      </c>
      <c r="G4" s="33" t="s">
        <v>561</v>
      </c>
      <c r="H4" s="34" t="s">
        <v>390</v>
      </c>
      <c r="I4" s="35" t="s">
        <v>569</v>
      </c>
      <c r="J4" s="36" t="s">
        <v>564</v>
      </c>
      <c r="K4" s="37"/>
    </row>
    <row r="5" spans="1:11" ht="33">
      <c r="A5" s="22" t="s">
        <v>29</v>
      </c>
      <c r="B5" s="32" t="s">
        <v>44</v>
      </c>
      <c r="C5" s="32" t="s">
        <v>43</v>
      </c>
      <c r="D5" s="4" t="s">
        <v>570</v>
      </c>
      <c r="E5" s="4" t="s">
        <v>391</v>
      </c>
      <c r="F5" s="33" t="s">
        <v>104</v>
      </c>
      <c r="G5" s="33" t="s">
        <v>561</v>
      </c>
      <c r="H5" s="38" t="s">
        <v>571</v>
      </c>
      <c r="I5" s="35" t="s">
        <v>567</v>
      </c>
      <c r="J5" s="36" t="s">
        <v>564</v>
      </c>
      <c r="K5" s="37"/>
    </row>
    <row r="6" spans="1:11" ht="16.5">
      <c r="A6" s="22" t="s">
        <v>29</v>
      </c>
      <c r="B6" s="32" t="s">
        <v>44</v>
      </c>
      <c r="C6" s="32" t="s">
        <v>43</v>
      </c>
      <c r="D6" s="4" t="s">
        <v>572</v>
      </c>
      <c r="E6" s="4" t="s">
        <v>396</v>
      </c>
      <c r="F6" s="33" t="s">
        <v>104</v>
      </c>
      <c r="G6" s="33" t="s">
        <v>561</v>
      </c>
      <c r="H6" s="34" t="s">
        <v>397</v>
      </c>
      <c r="I6" s="35" t="s">
        <v>573</v>
      </c>
      <c r="J6" s="36" t="s">
        <v>564</v>
      </c>
      <c r="K6" s="37"/>
    </row>
    <row r="7" spans="1:11" ht="16.5">
      <c r="A7" s="22" t="s">
        <v>19</v>
      </c>
      <c r="B7" s="32" t="s">
        <v>18</v>
      </c>
      <c r="C7" s="39" t="s">
        <v>17</v>
      </c>
      <c r="D7" s="4" t="s">
        <v>568</v>
      </c>
      <c r="E7" s="4" t="s">
        <v>389</v>
      </c>
      <c r="F7" s="33" t="s">
        <v>574</v>
      </c>
      <c r="G7" s="33" t="s">
        <v>561</v>
      </c>
      <c r="H7" s="38" t="s">
        <v>428</v>
      </c>
      <c r="I7" s="35" t="s">
        <v>569</v>
      </c>
      <c r="J7" s="36" t="s">
        <v>575</v>
      </c>
      <c r="K7" s="37" t="s">
        <v>576</v>
      </c>
    </row>
    <row r="8" spans="1:11" ht="16.5">
      <c r="A8" s="22" t="s">
        <v>19</v>
      </c>
      <c r="B8" s="32" t="s">
        <v>18</v>
      </c>
      <c r="C8" s="39" t="s">
        <v>17</v>
      </c>
      <c r="D8" s="4" t="s">
        <v>565</v>
      </c>
      <c r="E8" s="4" t="s">
        <v>385</v>
      </c>
      <c r="F8" s="33" t="s">
        <v>574</v>
      </c>
      <c r="G8" s="33" t="s">
        <v>561</v>
      </c>
      <c r="H8" s="38" t="s">
        <v>428</v>
      </c>
      <c r="I8" s="35" t="s">
        <v>567</v>
      </c>
      <c r="J8" s="36" t="s">
        <v>575</v>
      </c>
      <c r="K8" s="37" t="s">
        <v>576</v>
      </c>
    </row>
    <row r="9" spans="1:11" ht="16.5">
      <c r="A9" s="40" t="s">
        <v>19</v>
      </c>
      <c r="B9" s="32" t="s">
        <v>18</v>
      </c>
      <c r="C9" s="39" t="s">
        <v>17</v>
      </c>
      <c r="D9" s="4" t="s">
        <v>577</v>
      </c>
      <c r="E9" s="4" t="s">
        <v>398</v>
      </c>
      <c r="F9" s="33" t="s">
        <v>574</v>
      </c>
      <c r="G9" s="33" t="s">
        <v>561</v>
      </c>
      <c r="H9" s="34" t="s">
        <v>399</v>
      </c>
      <c r="I9" s="35" t="s">
        <v>578</v>
      </c>
      <c r="J9" s="36" t="s">
        <v>575</v>
      </c>
      <c r="K9" s="37" t="s">
        <v>576</v>
      </c>
    </row>
    <row r="10" spans="1:11" ht="16.5">
      <c r="A10" s="40" t="s">
        <v>19</v>
      </c>
      <c r="B10" s="32" t="s">
        <v>18</v>
      </c>
      <c r="C10" s="39" t="s">
        <v>17</v>
      </c>
      <c r="D10" s="4" t="s">
        <v>579</v>
      </c>
      <c r="E10" s="4" t="s">
        <v>400</v>
      </c>
      <c r="F10" s="33" t="s">
        <v>574</v>
      </c>
      <c r="G10" s="33" t="s">
        <v>561</v>
      </c>
      <c r="H10" s="38" t="s">
        <v>428</v>
      </c>
      <c r="I10" s="35" t="s">
        <v>573</v>
      </c>
      <c r="J10" s="36" t="s">
        <v>575</v>
      </c>
      <c r="K10" s="37" t="s">
        <v>576</v>
      </c>
    </row>
    <row r="11" spans="1:11" ht="16.5">
      <c r="A11" s="40" t="s">
        <v>19</v>
      </c>
      <c r="B11" s="32" t="s">
        <v>18</v>
      </c>
      <c r="C11" s="39" t="s">
        <v>17</v>
      </c>
      <c r="D11" s="4" t="s">
        <v>572</v>
      </c>
      <c r="E11" s="4" t="s">
        <v>396</v>
      </c>
      <c r="F11" s="33" t="s">
        <v>574</v>
      </c>
      <c r="G11" s="33" t="s">
        <v>561</v>
      </c>
      <c r="H11" s="34" t="s">
        <v>401</v>
      </c>
      <c r="I11" s="35" t="s">
        <v>573</v>
      </c>
      <c r="J11" s="36" t="s">
        <v>575</v>
      </c>
      <c r="K11" s="37" t="s">
        <v>576</v>
      </c>
    </row>
    <row r="12" spans="1:11" ht="16.5">
      <c r="A12" s="40" t="s">
        <v>19</v>
      </c>
      <c r="B12" s="32" t="s">
        <v>18</v>
      </c>
      <c r="C12" s="39" t="s">
        <v>17</v>
      </c>
      <c r="D12" s="4" t="s">
        <v>580</v>
      </c>
      <c r="E12" s="4" t="s">
        <v>402</v>
      </c>
      <c r="F12" s="33" t="s">
        <v>574</v>
      </c>
      <c r="G12" s="33" t="s">
        <v>561</v>
      </c>
      <c r="H12" s="38" t="s">
        <v>403</v>
      </c>
      <c r="I12" s="35" t="s">
        <v>578</v>
      </c>
      <c r="J12" s="36" t="s">
        <v>575</v>
      </c>
      <c r="K12" s="37" t="s">
        <v>576</v>
      </c>
    </row>
    <row r="13" spans="1:11" ht="16.5">
      <c r="A13" s="40" t="s">
        <v>19</v>
      </c>
      <c r="B13" s="32" t="s">
        <v>18</v>
      </c>
      <c r="C13" s="39" t="s">
        <v>17</v>
      </c>
      <c r="D13" s="4" t="s">
        <v>570</v>
      </c>
      <c r="E13" s="4" t="s">
        <v>391</v>
      </c>
      <c r="F13" s="33" t="s">
        <v>574</v>
      </c>
      <c r="G13" s="33" t="s">
        <v>561</v>
      </c>
      <c r="H13" s="38" t="s">
        <v>404</v>
      </c>
      <c r="I13" s="35" t="s">
        <v>567</v>
      </c>
      <c r="J13" s="36" t="s">
        <v>575</v>
      </c>
      <c r="K13" s="37" t="s">
        <v>576</v>
      </c>
    </row>
    <row r="14" spans="1:11" ht="33">
      <c r="A14" s="22" t="s">
        <v>19</v>
      </c>
      <c r="B14" s="32" t="s">
        <v>55</v>
      </c>
      <c r="C14" s="32" t="s">
        <v>54</v>
      </c>
      <c r="D14" s="4" t="s">
        <v>581</v>
      </c>
      <c r="E14" s="4" t="s">
        <v>405</v>
      </c>
      <c r="F14" s="33" t="s">
        <v>104</v>
      </c>
      <c r="G14" s="33" t="s">
        <v>561</v>
      </c>
      <c r="H14" s="38" t="s">
        <v>582</v>
      </c>
      <c r="I14" s="35" t="s">
        <v>583</v>
      </c>
      <c r="J14" s="36" t="s">
        <v>575</v>
      </c>
      <c r="K14" s="37"/>
    </row>
    <row r="15" spans="1:11" ht="16.5">
      <c r="A15" s="40" t="s">
        <v>26</v>
      </c>
      <c r="B15" s="32" t="s">
        <v>25</v>
      </c>
      <c r="C15" s="32" t="s">
        <v>52</v>
      </c>
      <c r="D15" s="4" t="s">
        <v>584</v>
      </c>
      <c r="E15" s="4" t="s">
        <v>407</v>
      </c>
      <c r="F15" s="33" t="s">
        <v>104</v>
      </c>
      <c r="G15" s="33" t="s">
        <v>561</v>
      </c>
      <c r="H15" s="38" t="s">
        <v>585</v>
      </c>
      <c r="I15" s="35" t="s">
        <v>586</v>
      </c>
      <c r="J15" s="36" t="s">
        <v>564</v>
      </c>
      <c r="K15" s="37"/>
    </row>
    <row r="16" spans="1:11" ht="16.5">
      <c r="A16" s="40" t="s">
        <v>26</v>
      </c>
      <c r="B16" s="32" t="s">
        <v>25</v>
      </c>
      <c r="C16" s="32" t="s">
        <v>52</v>
      </c>
      <c r="D16" s="4" t="s">
        <v>587</v>
      </c>
      <c r="E16" s="4" t="s">
        <v>410</v>
      </c>
      <c r="F16" s="33" t="s">
        <v>104</v>
      </c>
      <c r="G16" s="33" t="s">
        <v>561</v>
      </c>
      <c r="H16" s="38" t="s">
        <v>588</v>
      </c>
      <c r="I16" s="4" t="s">
        <v>589</v>
      </c>
      <c r="J16" s="36" t="s">
        <v>564</v>
      </c>
      <c r="K16" s="37"/>
    </row>
    <row r="17" spans="1:11" ht="16.5">
      <c r="A17" s="40" t="s">
        <v>26</v>
      </c>
      <c r="B17" s="32" t="s">
        <v>25</v>
      </c>
      <c r="C17" s="32" t="s">
        <v>52</v>
      </c>
      <c r="D17" s="32" t="s">
        <v>572</v>
      </c>
      <c r="E17" s="32" t="s">
        <v>396</v>
      </c>
      <c r="F17" s="33" t="s">
        <v>104</v>
      </c>
      <c r="G17" s="33" t="s">
        <v>561</v>
      </c>
      <c r="H17" s="32" t="s">
        <v>413</v>
      </c>
      <c r="I17" s="4" t="s">
        <v>589</v>
      </c>
      <c r="J17" s="36" t="s">
        <v>564</v>
      </c>
      <c r="K17" s="37"/>
    </row>
    <row r="18" spans="1:11" ht="33">
      <c r="A18" s="22" t="s">
        <v>26</v>
      </c>
      <c r="B18" s="32" t="s">
        <v>25</v>
      </c>
      <c r="C18" s="32" t="s">
        <v>56</v>
      </c>
      <c r="D18" s="4" t="s">
        <v>560</v>
      </c>
      <c r="E18" s="4" t="s">
        <v>382</v>
      </c>
      <c r="F18" s="33" t="s">
        <v>574</v>
      </c>
      <c r="G18" s="33" t="s">
        <v>561</v>
      </c>
      <c r="H18" s="34" t="s">
        <v>414</v>
      </c>
      <c r="I18" s="35" t="s">
        <v>590</v>
      </c>
      <c r="J18" s="36" t="s">
        <v>564</v>
      </c>
      <c r="K18" s="37"/>
    </row>
    <row r="19" spans="1:11" ht="33">
      <c r="A19" s="22" t="s">
        <v>26</v>
      </c>
      <c r="B19" s="32" t="s">
        <v>25</v>
      </c>
      <c r="C19" s="32" t="s">
        <v>37</v>
      </c>
      <c r="D19" s="4" t="s">
        <v>565</v>
      </c>
      <c r="E19" s="4" t="s">
        <v>385</v>
      </c>
      <c r="F19" s="33" t="s">
        <v>104</v>
      </c>
      <c r="G19" s="33" t="s">
        <v>561</v>
      </c>
      <c r="H19" s="34" t="s">
        <v>591</v>
      </c>
      <c r="I19" s="35" t="s">
        <v>592</v>
      </c>
      <c r="J19" s="36" t="s">
        <v>564</v>
      </c>
      <c r="K19" s="37"/>
    </row>
    <row r="20" spans="1:11" ht="16.5">
      <c r="A20" s="22" t="s">
        <v>26</v>
      </c>
      <c r="B20" s="32" t="s">
        <v>25</v>
      </c>
      <c r="C20" s="32" t="s">
        <v>37</v>
      </c>
      <c r="D20" s="4" t="s">
        <v>568</v>
      </c>
      <c r="E20" s="4" t="s">
        <v>389</v>
      </c>
      <c r="F20" s="33" t="s">
        <v>104</v>
      </c>
      <c r="G20" s="33" t="s">
        <v>561</v>
      </c>
      <c r="H20" s="38" t="s">
        <v>417</v>
      </c>
      <c r="I20" s="35" t="s">
        <v>593</v>
      </c>
      <c r="J20" s="36" t="s">
        <v>564</v>
      </c>
      <c r="K20" s="37"/>
    </row>
    <row r="21" spans="1:11" ht="16.5">
      <c r="A21" s="22" t="s">
        <v>26</v>
      </c>
      <c r="B21" s="32" t="s">
        <v>25</v>
      </c>
      <c r="C21" s="32" t="s">
        <v>37</v>
      </c>
      <c r="D21" s="4" t="s">
        <v>594</v>
      </c>
      <c r="E21" s="4" t="s">
        <v>418</v>
      </c>
      <c r="F21" s="33" t="s">
        <v>104</v>
      </c>
      <c r="G21" s="33" t="s">
        <v>561</v>
      </c>
      <c r="H21" s="38" t="s">
        <v>595</v>
      </c>
      <c r="I21" s="35" t="s">
        <v>596</v>
      </c>
      <c r="J21" s="36" t="s">
        <v>564</v>
      </c>
      <c r="K21" s="37"/>
    </row>
    <row r="22" spans="1:11" ht="33">
      <c r="A22" s="22" t="s">
        <v>26</v>
      </c>
      <c r="B22" s="32" t="s">
        <v>25</v>
      </c>
      <c r="C22" s="32" t="s">
        <v>37</v>
      </c>
      <c r="D22" s="4" t="s">
        <v>570</v>
      </c>
      <c r="E22" s="4" t="s">
        <v>391</v>
      </c>
      <c r="F22" s="33" t="s">
        <v>104</v>
      </c>
      <c r="G22" s="33" t="s">
        <v>561</v>
      </c>
      <c r="H22" s="38" t="s">
        <v>597</v>
      </c>
      <c r="I22" s="35" t="s">
        <v>592</v>
      </c>
      <c r="J22" s="36" t="s">
        <v>564</v>
      </c>
      <c r="K22" s="37"/>
    </row>
    <row r="23" spans="1:11" ht="16.5">
      <c r="A23" s="40" t="s">
        <v>19</v>
      </c>
      <c r="B23" s="32" t="s">
        <v>55</v>
      </c>
      <c r="C23" s="32" t="s">
        <v>87</v>
      </c>
      <c r="D23" s="4" t="s">
        <v>577</v>
      </c>
      <c r="E23" s="4" t="s">
        <v>398</v>
      </c>
      <c r="F23" s="33" t="s">
        <v>104</v>
      </c>
      <c r="G23" s="33" t="s">
        <v>561</v>
      </c>
      <c r="H23" s="38" t="s">
        <v>423</v>
      </c>
      <c r="I23" s="35" t="s">
        <v>598</v>
      </c>
      <c r="J23" s="36" t="s">
        <v>564</v>
      </c>
      <c r="K23" s="37"/>
    </row>
    <row r="24" spans="1:11" ht="16.5">
      <c r="A24" s="22" t="s">
        <v>19</v>
      </c>
      <c r="B24" s="32" t="s">
        <v>55</v>
      </c>
      <c r="C24" s="32" t="s">
        <v>87</v>
      </c>
      <c r="D24" s="4" t="s">
        <v>570</v>
      </c>
      <c r="E24" s="4" t="s">
        <v>391</v>
      </c>
      <c r="F24" s="33" t="s">
        <v>104</v>
      </c>
      <c r="G24" s="33" t="s">
        <v>561</v>
      </c>
      <c r="H24" s="38" t="s">
        <v>599</v>
      </c>
      <c r="I24" s="35" t="s">
        <v>600</v>
      </c>
      <c r="J24" s="36" t="s">
        <v>564</v>
      </c>
      <c r="K24" s="37"/>
    </row>
    <row r="25" spans="1:11" ht="16.5">
      <c r="A25" s="22" t="s">
        <v>19</v>
      </c>
      <c r="B25" s="32" t="s">
        <v>55</v>
      </c>
      <c r="C25" s="32" t="s">
        <v>87</v>
      </c>
      <c r="D25" s="4" t="s">
        <v>587</v>
      </c>
      <c r="E25" s="4" t="s">
        <v>410</v>
      </c>
      <c r="F25" s="33" t="s">
        <v>104</v>
      </c>
      <c r="G25" s="33" t="s">
        <v>561</v>
      </c>
      <c r="H25" s="38" t="s">
        <v>428</v>
      </c>
      <c r="I25" s="35" t="s">
        <v>589</v>
      </c>
      <c r="J25" s="36" t="s">
        <v>564</v>
      </c>
      <c r="K25" s="37"/>
    </row>
    <row r="26" spans="1:11" ht="16.5">
      <c r="A26" s="40" t="s">
        <v>19</v>
      </c>
      <c r="B26" s="32" t="s">
        <v>55</v>
      </c>
      <c r="C26" s="32" t="s">
        <v>87</v>
      </c>
      <c r="D26" s="4" t="s">
        <v>580</v>
      </c>
      <c r="E26" s="4" t="s">
        <v>402</v>
      </c>
      <c r="F26" s="33" t="s">
        <v>104</v>
      </c>
      <c r="G26" s="33" t="s">
        <v>561</v>
      </c>
      <c r="H26" s="38" t="s">
        <v>426</v>
      </c>
      <c r="I26" s="35" t="s">
        <v>598</v>
      </c>
      <c r="J26" s="36" t="s">
        <v>564</v>
      </c>
      <c r="K26" s="37"/>
    </row>
    <row r="27" spans="1:11" ht="16.5">
      <c r="A27" s="22" t="s">
        <v>19</v>
      </c>
      <c r="B27" s="32" t="s">
        <v>55</v>
      </c>
      <c r="C27" s="32" t="s">
        <v>87</v>
      </c>
      <c r="D27" s="4" t="s">
        <v>572</v>
      </c>
      <c r="E27" s="4" t="s">
        <v>396</v>
      </c>
      <c r="F27" s="33" t="s">
        <v>104</v>
      </c>
      <c r="G27" s="33" t="s">
        <v>561</v>
      </c>
      <c r="H27" s="34" t="s">
        <v>601</v>
      </c>
      <c r="I27" s="35" t="s">
        <v>602</v>
      </c>
      <c r="J27" s="36" t="s">
        <v>564</v>
      </c>
      <c r="K27" s="37"/>
    </row>
    <row r="28" spans="1:11" ht="16.5">
      <c r="A28" s="22" t="s">
        <v>19</v>
      </c>
      <c r="B28" s="32" t="s">
        <v>55</v>
      </c>
      <c r="C28" s="32" t="s">
        <v>87</v>
      </c>
      <c r="D28" s="4" t="s">
        <v>568</v>
      </c>
      <c r="E28" s="4" t="s">
        <v>389</v>
      </c>
      <c r="F28" s="33" t="s">
        <v>104</v>
      </c>
      <c r="G28" s="33" t="s">
        <v>561</v>
      </c>
      <c r="H28" s="38" t="s">
        <v>428</v>
      </c>
      <c r="I28" s="35" t="s">
        <v>603</v>
      </c>
      <c r="J28" s="36" t="s">
        <v>564</v>
      </c>
      <c r="K28" s="37"/>
    </row>
    <row r="29" spans="1:11" ht="16.5">
      <c r="A29" s="22" t="s">
        <v>19</v>
      </c>
      <c r="B29" s="32" t="s">
        <v>55</v>
      </c>
      <c r="C29" s="32" t="s">
        <v>87</v>
      </c>
      <c r="D29" s="4" t="s">
        <v>565</v>
      </c>
      <c r="E29" s="4" t="s">
        <v>385</v>
      </c>
      <c r="F29" s="33" t="s">
        <v>104</v>
      </c>
      <c r="G29" s="33" t="s">
        <v>561</v>
      </c>
      <c r="H29" s="38" t="s">
        <v>428</v>
      </c>
      <c r="I29" s="35" t="s">
        <v>600</v>
      </c>
      <c r="J29" s="36" t="s">
        <v>564</v>
      </c>
      <c r="K29" s="37"/>
    </row>
    <row r="30" spans="1:11" ht="16.5">
      <c r="A30" s="22" t="s">
        <v>19</v>
      </c>
      <c r="B30" s="32" t="s">
        <v>55</v>
      </c>
      <c r="C30" s="32" t="s">
        <v>93</v>
      </c>
      <c r="D30" s="4" t="s">
        <v>604</v>
      </c>
      <c r="E30" s="4" t="s">
        <v>429</v>
      </c>
      <c r="F30" s="33" t="s">
        <v>605</v>
      </c>
      <c r="G30" s="33" t="s">
        <v>561</v>
      </c>
      <c r="H30" s="34" t="s">
        <v>430</v>
      </c>
      <c r="I30" s="35" t="s">
        <v>606</v>
      </c>
      <c r="J30" s="36" t="s">
        <v>575</v>
      </c>
      <c r="K30" s="37"/>
    </row>
    <row r="31" spans="1:11" ht="33">
      <c r="A31" s="22" t="s">
        <v>29</v>
      </c>
      <c r="B31" s="32" t="s">
        <v>82</v>
      </c>
      <c r="C31" s="32" t="s">
        <v>81</v>
      </c>
      <c r="D31" s="4" t="s">
        <v>431</v>
      </c>
      <c r="E31" s="4" t="s">
        <v>431</v>
      </c>
      <c r="F31" s="33" t="s">
        <v>574</v>
      </c>
      <c r="G31" s="33" t="s">
        <v>561</v>
      </c>
      <c r="H31" s="38" t="s">
        <v>607</v>
      </c>
      <c r="I31" s="35" t="s">
        <v>608</v>
      </c>
      <c r="J31" s="36" t="s">
        <v>575</v>
      </c>
      <c r="K31" s="37"/>
    </row>
    <row r="32" spans="1:11" ht="16.5">
      <c r="A32" s="22" t="s">
        <v>29</v>
      </c>
      <c r="B32" s="32" t="s">
        <v>82</v>
      </c>
      <c r="C32" s="32" t="s">
        <v>81</v>
      </c>
      <c r="D32" s="4" t="s">
        <v>435</v>
      </c>
      <c r="E32" s="4" t="s">
        <v>435</v>
      </c>
      <c r="F32" s="33" t="s">
        <v>574</v>
      </c>
      <c r="G32" s="33" t="s">
        <v>561</v>
      </c>
      <c r="H32" s="38" t="s">
        <v>609</v>
      </c>
      <c r="I32" s="35" t="s">
        <v>435</v>
      </c>
      <c r="J32" s="36" t="s">
        <v>575</v>
      </c>
      <c r="K32" s="37"/>
    </row>
    <row r="33" spans="1:11" ht="49.5">
      <c r="A33" s="22" t="s">
        <v>29</v>
      </c>
      <c r="B33" s="32" t="s">
        <v>82</v>
      </c>
      <c r="C33" s="32" t="s">
        <v>81</v>
      </c>
      <c r="D33" s="4" t="s">
        <v>436</v>
      </c>
      <c r="E33" s="4" t="s">
        <v>436</v>
      </c>
      <c r="F33" s="33" t="s">
        <v>574</v>
      </c>
      <c r="G33" s="33" t="s">
        <v>561</v>
      </c>
      <c r="H33" s="38" t="s">
        <v>610</v>
      </c>
      <c r="I33" s="35" t="s">
        <v>611</v>
      </c>
      <c r="J33" s="36" t="s">
        <v>575</v>
      </c>
      <c r="K33" s="37"/>
    </row>
    <row r="34" spans="1:11" ht="33">
      <c r="A34" s="22" t="s">
        <v>29</v>
      </c>
      <c r="B34" s="32" t="s">
        <v>82</v>
      </c>
      <c r="C34" s="32" t="s">
        <v>81</v>
      </c>
      <c r="D34" s="4" t="s">
        <v>438</v>
      </c>
      <c r="E34" s="4" t="s">
        <v>438</v>
      </c>
      <c r="F34" s="33" t="s">
        <v>574</v>
      </c>
      <c r="G34" s="33" t="s">
        <v>561</v>
      </c>
      <c r="H34" s="38" t="s">
        <v>612</v>
      </c>
      <c r="I34" s="35" t="s">
        <v>613</v>
      </c>
      <c r="J34" s="36" t="s">
        <v>575</v>
      </c>
      <c r="K34" s="37"/>
    </row>
    <row r="35" spans="1:11" ht="33">
      <c r="A35" s="22" t="s">
        <v>29</v>
      </c>
      <c r="B35" s="32" t="s">
        <v>82</v>
      </c>
      <c r="C35" s="32" t="s">
        <v>81</v>
      </c>
      <c r="D35" s="4" t="s">
        <v>439</v>
      </c>
      <c r="E35" s="4" t="s">
        <v>439</v>
      </c>
      <c r="F35" s="33" t="s">
        <v>574</v>
      </c>
      <c r="G35" s="33" t="s">
        <v>561</v>
      </c>
      <c r="H35" s="38" t="s">
        <v>609</v>
      </c>
      <c r="I35" s="35" t="s">
        <v>614</v>
      </c>
      <c r="J35" s="36" t="s">
        <v>575</v>
      </c>
      <c r="K35" s="37"/>
    </row>
    <row r="36" spans="1:11" ht="16.5">
      <c r="A36" s="22" t="s">
        <v>42</v>
      </c>
      <c r="B36" s="32" t="s">
        <v>41</v>
      </c>
      <c r="C36" s="32" t="s">
        <v>60</v>
      </c>
      <c r="D36" s="4" t="s">
        <v>565</v>
      </c>
      <c r="E36" s="4" t="s">
        <v>385</v>
      </c>
      <c r="F36" s="33" t="s">
        <v>104</v>
      </c>
      <c r="G36" s="33" t="s">
        <v>561</v>
      </c>
      <c r="H36" s="34" t="s">
        <v>440</v>
      </c>
      <c r="I36" s="35" t="s">
        <v>567</v>
      </c>
      <c r="J36" s="36" t="s">
        <v>564</v>
      </c>
      <c r="K36" s="37"/>
    </row>
    <row r="37" spans="1:11" ht="16.5">
      <c r="A37" s="22" t="s">
        <v>42</v>
      </c>
      <c r="B37" s="32" t="s">
        <v>41</v>
      </c>
      <c r="C37" s="32" t="s">
        <v>60</v>
      </c>
      <c r="D37" s="4" t="s">
        <v>570</v>
      </c>
      <c r="E37" s="4" t="s">
        <v>391</v>
      </c>
      <c r="F37" s="33" t="s">
        <v>104</v>
      </c>
      <c r="G37" s="33" t="s">
        <v>561</v>
      </c>
      <c r="H37" s="34" t="s">
        <v>615</v>
      </c>
      <c r="I37" s="35" t="s">
        <v>567</v>
      </c>
      <c r="J37" s="36" t="s">
        <v>564</v>
      </c>
      <c r="K37" s="37"/>
    </row>
    <row r="38" spans="1:11" ht="16.5">
      <c r="A38" s="40" t="s">
        <v>42</v>
      </c>
      <c r="B38" s="32" t="s">
        <v>41</v>
      </c>
      <c r="C38" s="33" t="s">
        <v>60</v>
      </c>
      <c r="D38" s="38" t="s">
        <v>616</v>
      </c>
      <c r="E38" s="38" t="s">
        <v>443</v>
      </c>
      <c r="F38" s="33" t="s">
        <v>104</v>
      </c>
      <c r="G38" s="33" t="s">
        <v>561</v>
      </c>
      <c r="H38" s="34" t="s">
        <v>440</v>
      </c>
      <c r="I38" s="35" t="s">
        <v>617</v>
      </c>
      <c r="J38" s="36" t="s">
        <v>564</v>
      </c>
      <c r="K38" s="41" t="s">
        <v>618</v>
      </c>
    </row>
    <row r="39" spans="1:11" ht="16.5">
      <c r="A39" s="22" t="s">
        <v>42</v>
      </c>
      <c r="B39" s="32" t="s">
        <v>41</v>
      </c>
      <c r="C39" s="32" t="s">
        <v>61</v>
      </c>
      <c r="D39" s="4" t="s">
        <v>577</v>
      </c>
      <c r="E39" s="4" t="s">
        <v>398</v>
      </c>
      <c r="F39" s="33" t="s">
        <v>574</v>
      </c>
      <c r="G39" s="33" t="s">
        <v>561</v>
      </c>
      <c r="H39" s="34" t="s">
        <v>444</v>
      </c>
      <c r="I39" s="35" t="s">
        <v>619</v>
      </c>
      <c r="J39" s="36" t="s">
        <v>564</v>
      </c>
      <c r="K39" s="37"/>
    </row>
    <row r="40" spans="1:11" ht="16.5">
      <c r="A40" s="22" t="s">
        <v>42</v>
      </c>
      <c r="B40" s="32" t="s">
        <v>41</v>
      </c>
      <c r="C40" s="32" t="s">
        <v>61</v>
      </c>
      <c r="D40" s="4" t="s">
        <v>580</v>
      </c>
      <c r="E40" s="4" t="s">
        <v>402</v>
      </c>
      <c r="F40" s="33" t="s">
        <v>574</v>
      </c>
      <c r="G40" s="33" t="s">
        <v>561</v>
      </c>
      <c r="H40" s="34" t="s">
        <v>445</v>
      </c>
      <c r="I40" s="35" t="s">
        <v>578</v>
      </c>
      <c r="J40" s="36" t="s">
        <v>564</v>
      </c>
      <c r="K40" s="37"/>
    </row>
    <row r="41" spans="1:11" ht="16.5">
      <c r="A41" s="22" t="s">
        <v>42</v>
      </c>
      <c r="B41" s="32" t="s">
        <v>41</v>
      </c>
      <c r="C41" s="32" t="s">
        <v>61</v>
      </c>
      <c r="D41" s="4" t="s">
        <v>620</v>
      </c>
      <c r="E41" s="4" t="s">
        <v>446</v>
      </c>
      <c r="F41" s="33" t="s">
        <v>574</v>
      </c>
      <c r="G41" s="33" t="s">
        <v>561</v>
      </c>
      <c r="H41" s="34" t="s">
        <v>444</v>
      </c>
      <c r="I41" s="35" t="s">
        <v>621</v>
      </c>
      <c r="J41" s="36" t="s">
        <v>564</v>
      </c>
      <c r="K41" s="37"/>
    </row>
    <row r="42" spans="1:11" ht="16.5">
      <c r="A42" s="22" t="s">
        <v>19</v>
      </c>
      <c r="B42" s="32" t="s">
        <v>23</v>
      </c>
      <c r="C42" s="32" t="s">
        <v>22</v>
      </c>
      <c r="D42" s="4" t="s">
        <v>572</v>
      </c>
      <c r="E42" s="4" t="s">
        <v>396</v>
      </c>
      <c r="F42" s="33" t="s">
        <v>574</v>
      </c>
      <c r="G42" s="33" t="s">
        <v>561</v>
      </c>
      <c r="H42" s="34" t="s">
        <v>447</v>
      </c>
      <c r="I42" s="35" t="s">
        <v>622</v>
      </c>
      <c r="J42" s="36" t="s">
        <v>575</v>
      </c>
      <c r="K42" s="37"/>
    </row>
    <row r="43" spans="1:11" ht="16.5">
      <c r="A43" s="22" t="s">
        <v>19</v>
      </c>
      <c r="B43" s="32" t="s">
        <v>23</v>
      </c>
      <c r="C43" s="32" t="s">
        <v>22</v>
      </c>
      <c r="D43" s="4" t="s">
        <v>623</v>
      </c>
      <c r="E43" s="4" t="s">
        <v>448</v>
      </c>
      <c r="F43" s="33" t="s">
        <v>574</v>
      </c>
      <c r="G43" s="33" t="s">
        <v>561</v>
      </c>
      <c r="H43" s="38" t="s">
        <v>428</v>
      </c>
      <c r="I43" s="35" t="s">
        <v>622</v>
      </c>
      <c r="J43" s="36" t="s">
        <v>575</v>
      </c>
      <c r="K43" s="37"/>
    </row>
    <row r="44" spans="1:11" ht="16.5">
      <c r="A44" s="22" t="s">
        <v>19</v>
      </c>
      <c r="B44" s="32" t="s">
        <v>23</v>
      </c>
      <c r="C44" s="32" t="s">
        <v>22</v>
      </c>
      <c r="D44" s="4" t="s">
        <v>579</v>
      </c>
      <c r="E44" s="4" t="s">
        <v>400</v>
      </c>
      <c r="F44" s="33" t="s">
        <v>574</v>
      </c>
      <c r="G44" s="33" t="s">
        <v>561</v>
      </c>
      <c r="H44" s="34" t="s">
        <v>449</v>
      </c>
      <c r="I44" s="35" t="s">
        <v>573</v>
      </c>
      <c r="J44" s="36" t="s">
        <v>575</v>
      </c>
      <c r="K44" s="37"/>
    </row>
    <row r="45" spans="1:11" ht="16.5">
      <c r="A45" s="22" t="s">
        <v>19</v>
      </c>
      <c r="B45" s="32" t="s">
        <v>23</v>
      </c>
      <c r="C45" s="32" t="s">
        <v>22</v>
      </c>
      <c r="D45" s="4" t="s">
        <v>587</v>
      </c>
      <c r="E45" s="4" t="s">
        <v>410</v>
      </c>
      <c r="F45" s="33" t="s">
        <v>574</v>
      </c>
      <c r="G45" s="33" t="s">
        <v>561</v>
      </c>
      <c r="H45" s="34" t="s">
        <v>449</v>
      </c>
      <c r="I45" s="35" t="s">
        <v>589</v>
      </c>
      <c r="J45" s="36" t="s">
        <v>575</v>
      </c>
      <c r="K45" s="37"/>
    </row>
    <row r="46" spans="1:11" ht="16.5">
      <c r="A46" s="22" t="s">
        <v>26</v>
      </c>
      <c r="B46" s="32" t="s">
        <v>79</v>
      </c>
      <c r="C46" s="32" t="s">
        <v>100</v>
      </c>
      <c r="D46" s="4" t="s">
        <v>624</v>
      </c>
      <c r="E46" s="4" t="s">
        <v>450</v>
      </c>
      <c r="F46" s="33" t="s">
        <v>104</v>
      </c>
      <c r="G46" s="33" t="s">
        <v>561</v>
      </c>
      <c r="H46" s="38" t="s">
        <v>428</v>
      </c>
      <c r="I46" s="38" t="s">
        <v>625</v>
      </c>
      <c r="J46" s="36" t="s">
        <v>626</v>
      </c>
      <c r="K46" s="41" t="s">
        <v>618</v>
      </c>
    </row>
    <row r="47" spans="1:11" ht="16.5">
      <c r="A47" s="22" t="s">
        <v>26</v>
      </c>
      <c r="B47" s="32" t="s">
        <v>79</v>
      </c>
      <c r="C47" s="32" t="s">
        <v>100</v>
      </c>
      <c r="D47" s="4" t="s">
        <v>627</v>
      </c>
      <c r="E47" s="4" t="s">
        <v>451</v>
      </c>
      <c r="F47" s="33" t="s">
        <v>104</v>
      </c>
      <c r="G47" s="33" t="s">
        <v>561</v>
      </c>
      <c r="H47" s="38" t="s">
        <v>428</v>
      </c>
      <c r="I47" s="38" t="s">
        <v>628</v>
      </c>
      <c r="J47" s="36" t="s">
        <v>626</v>
      </c>
      <c r="K47" s="41" t="s">
        <v>618</v>
      </c>
    </row>
    <row r="48" spans="1:11" ht="16.5">
      <c r="A48" s="22" t="s">
        <v>51</v>
      </c>
      <c r="B48" s="32" t="s">
        <v>50</v>
      </c>
      <c r="C48" s="32" t="s">
        <v>49</v>
      </c>
      <c r="D48" s="4" t="s">
        <v>580</v>
      </c>
      <c r="E48" s="4" t="s">
        <v>402</v>
      </c>
      <c r="F48" s="33" t="s">
        <v>104</v>
      </c>
      <c r="G48" s="33" t="s">
        <v>561</v>
      </c>
      <c r="H48" s="34" t="s">
        <v>629</v>
      </c>
      <c r="I48" s="35" t="s">
        <v>630</v>
      </c>
      <c r="J48" s="36" t="s">
        <v>564</v>
      </c>
      <c r="K48" s="37"/>
    </row>
    <row r="49" spans="1:11" ht="16.5">
      <c r="A49" s="22" t="s">
        <v>51</v>
      </c>
      <c r="B49" s="32" t="s">
        <v>50</v>
      </c>
      <c r="C49" s="32" t="s">
        <v>49</v>
      </c>
      <c r="D49" s="4" t="s">
        <v>572</v>
      </c>
      <c r="E49" s="4" t="s">
        <v>396</v>
      </c>
      <c r="F49" s="33" t="s">
        <v>104</v>
      </c>
      <c r="G49" s="33" t="s">
        <v>561</v>
      </c>
      <c r="H49" s="34" t="s">
        <v>190</v>
      </c>
      <c r="I49" s="35" t="s">
        <v>622</v>
      </c>
      <c r="J49" s="36" t="s">
        <v>564</v>
      </c>
      <c r="K49" s="37"/>
    </row>
    <row r="50" spans="1:11" ht="16.5">
      <c r="A50" s="22" t="s">
        <v>51</v>
      </c>
      <c r="B50" s="32" t="s">
        <v>50</v>
      </c>
      <c r="C50" s="32" t="s">
        <v>49</v>
      </c>
      <c r="D50" s="4" t="s">
        <v>623</v>
      </c>
      <c r="E50" s="4" t="s">
        <v>448</v>
      </c>
      <c r="F50" s="33" t="s">
        <v>104</v>
      </c>
      <c r="G50" s="33" t="s">
        <v>561</v>
      </c>
      <c r="H50" s="38" t="s">
        <v>453</v>
      </c>
      <c r="I50" s="35" t="s">
        <v>622</v>
      </c>
      <c r="J50" s="36" t="s">
        <v>564</v>
      </c>
      <c r="K50" s="37"/>
    </row>
    <row r="51" spans="1:11" ht="16.5">
      <c r="A51" s="40" t="s">
        <v>51</v>
      </c>
      <c r="B51" s="32" t="s">
        <v>50</v>
      </c>
      <c r="C51" s="32" t="s">
        <v>49</v>
      </c>
      <c r="D51" s="4" t="s">
        <v>620</v>
      </c>
      <c r="E51" s="4" t="s">
        <v>446</v>
      </c>
      <c r="F51" s="33" t="s">
        <v>104</v>
      </c>
      <c r="G51" s="33" t="s">
        <v>561</v>
      </c>
      <c r="H51" s="38" t="s">
        <v>454</v>
      </c>
      <c r="I51" s="35" t="s">
        <v>631</v>
      </c>
      <c r="J51" s="36" t="s">
        <v>564</v>
      </c>
      <c r="K51" s="37"/>
    </row>
    <row r="52" spans="1:11" ht="16.5">
      <c r="A52" s="40" t="s">
        <v>42</v>
      </c>
      <c r="B52" s="32" t="s">
        <v>41</v>
      </c>
      <c r="C52" s="39" t="s">
        <v>40</v>
      </c>
      <c r="D52" s="4" t="s">
        <v>568</v>
      </c>
      <c r="E52" s="4" t="s">
        <v>389</v>
      </c>
      <c r="F52" s="33" t="s">
        <v>574</v>
      </c>
      <c r="G52" s="33" t="s">
        <v>561</v>
      </c>
      <c r="H52" s="38" t="s">
        <v>428</v>
      </c>
      <c r="I52" s="35" t="s">
        <v>632</v>
      </c>
      <c r="J52" s="36" t="s">
        <v>575</v>
      </c>
      <c r="K52" s="37" t="s">
        <v>633</v>
      </c>
    </row>
    <row r="53" spans="1:11" ht="16.5">
      <c r="A53" s="40" t="s">
        <v>42</v>
      </c>
      <c r="B53" s="32" t="s">
        <v>41</v>
      </c>
      <c r="C53" s="39" t="s">
        <v>40</v>
      </c>
      <c r="D53" s="35" t="s">
        <v>579</v>
      </c>
      <c r="E53" s="35" t="s">
        <v>400</v>
      </c>
      <c r="F53" s="33" t="s">
        <v>574</v>
      </c>
      <c r="G53" s="33" t="s">
        <v>561</v>
      </c>
      <c r="H53" s="38" t="s">
        <v>428</v>
      </c>
      <c r="I53" s="35" t="s">
        <v>573</v>
      </c>
      <c r="J53" s="36" t="s">
        <v>575</v>
      </c>
      <c r="K53" s="37" t="s">
        <v>633</v>
      </c>
    </row>
    <row r="54" spans="1:11" ht="16.5">
      <c r="A54" s="22" t="s">
        <v>32</v>
      </c>
      <c r="B54" s="32" t="s">
        <v>67</v>
      </c>
      <c r="C54" s="32" t="s">
        <v>90</v>
      </c>
      <c r="D54" s="4" t="s">
        <v>634</v>
      </c>
      <c r="E54" s="4" t="s">
        <v>455</v>
      </c>
      <c r="F54" s="33" t="s">
        <v>574</v>
      </c>
      <c r="G54" s="33" t="s">
        <v>561</v>
      </c>
      <c r="H54" s="34" t="s">
        <v>332</v>
      </c>
      <c r="I54" s="35" t="s">
        <v>635</v>
      </c>
      <c r="J54" s="36" t="s">
        <v>564</v>
      </c>
      <c r="K54" s="37"/>
    </row>
    <row r="55" spans="1:11" ht="16.5">
      <c r="A55" s="22" t="s">
        <v>32</v>
      </c>
      <c r="B55" s="32" t="s">
        <v>67</v>
      </c>
      <c r="C55" s="32" t="s">
        <v>66</v>
      </c>
      <c r="D55" s="4" t="s">
        <v>568</v>
      </c>
      <c r="E55" s="4" t="s">
        <v>389</v>
      </c>
      <c r="F55" s="33" t="s">
        <v>574</v>
      </c>
      <c r="G55" s="33" t="s">
        <v>561</v>
      </c>
      <c r="H55" s="34" t="s">
        <v>456</v>
      </c>
      <c r="I55" s="35" t="s">
        <v>636</v>
      </c>
      <c r="J55" s="36" t="s">
        <v>575</v>
      </c>
      <c r="K55" s="37"/>
    </row>
    <row r="56" spans="1:11" ht="16.5">
      <c r="A56" s="22" t="s">
        <v>32</v>
      </c>
      <c r="B56" s="32" t="s">
        <v>67</v>
      </c>
      <c r="C56" s="32" t="s">
        <v>86</v>
      </c>
      <c r="D56" s="4" t="s">
        <v>620</v>
      </c>
      <c r="E56" s="4" t="s">
        <v>446</v>
      </c>
      <c r="F56" s="33" t="s">
        <v>104</v>
      </c>
      <c r="G56" s="33" t="s">
        <v>561</v>
      </c>
      <c r="H56" s="34" t="s">
        <v>637</v>
      </c>
      <c r="I56" s="35" t="s">
        <v>638</v>
      </c>
      <c r="J56" s="36" t="s">
        <v>575</v>
      </c>
      <c r="K56" s="37"/>
    </row>
    <row r="57" spans="1:11" ht="16.5">
      <c r="A57" s="22" t="s">
        <v>32</v>
      </c>
      <c r="B57" s="32" t="s">
        <v>67</v>
      </c>
      <c r="C57" s="32" t="s">
        <v>96</v>
      </c>
      <c r="D57" s="38" t="s">
        <v>581</v>
      </c>
      <c r="E57" s="38" t="s">
        <v>405</v>
      </c>
      <c r="F57" s="33" t="s">
        <v>574</v>
      </c>
      <c r="G57" s="33" t="s">
        <v>561</v>
      </c>
      <c r="H57" s="34" t="s">
        <v>356</v>
      </c>
      <c r="I57" s="35" t="s">
        <v>639</v>
      </c>
      <c r="J57" s="36" t="s">
        <v>575</v>
      </c>
      <c r="K57" s="37"/>
    </row>
    <row r="58" spans="1:11" ht="33">
      <c r="A58" s="40" t="s">
        <v>51</v>
      </c>
      <c r="B58" s="32" t="s">
        <v>75</v>
      </c>
      <c r="C58" s="39" t="s">
        <v>74</v>
      </c>
      <c r="D58" s="4" t="s">
        <v>634</v>
      </c>
      <c r="E58" s="4" t="s">
        <v>455</v>
      </c>
      <c r="F58" s="33" t="s">
        <v>104</v>
      </c>
      <c r="G58" s="33" t="s">
        <v>561</v>
      </c>
      <c r="H58" s="38" t="s">
        <v>458</v>
      </c>
      <c r="I58" s="35" t="s">
        <v>640</v>
      </c>
      <c r="J58" s="36" t="s">
        <v>575</v>
      </c>
      <c r="K58" s="37" t="s">
        <v>641</v>
      </c>
    </row>
    <row r="59" spans="1:11" ht="16.5">
      <c r="A59" s="40" t="s">
        <v>51</v>
      </c>
      <c r="B59" s="32" t="s">
        <v>75</v>
      </c>
      <c r="C59" s="39" t="s">
        <v>74</v>
      </c>
      <c r="D59" s="4" t="s">
        <v>581</v>
      </c>
      <c r="E59" s="4" t="s">
        <v>405</v>
      </c>
      <c r="F59" s="33" t="s">
        <v>104</v>
      </c>
      <c r="G59" s="33" t="s">
        <v>561</v>
      </c>
      <c r="H59" s="38" t="s">
        <v>428</v>
      </c>
      <c r="I59" s="35" t="s">
        <v>642</v>
      </c>
      <c r="J59" s="36" t="s">
        <v>575</v>
      </c>
      <c r="K59" s="37" t="s">
        <v>641</v>
      </c>
    </row>
    <row r="60" spans="1:11" ht="16.5">
      <c r="A60" s="22" t="s">
        <v>42</v>
      </c>
      <c r="B60" s="32" t="s">
        <v>59</v>
      </c>
      <c r="C60" s="32" t="s">
        <v>58</v>
      </c>
      <c r="D60" s="4" t="s">
        <v>623</v>
      </c>
      <c r="E60" s="4" t="s">
        <v>448</v>
      </c>
      <c r="F60" s="33" t="s">
        <v>574</v>
      </c>
      <c r="G60" s="33" t="s">
        <v>561</v>
      </c>
      <c r="H60" s="34" t="s">
        <v>459</v>
      </c>
      <c r="I60" s="35" t="s">
        <v>622</v>
      </c>
      <c r="J60" s="36" t="s">
        <v>564</v>
      </c>
      <c r="K60" s="37"/>
    </row>
    <row r="61" spans="1:11" ht="16.5">
      <c r="A61" s="22" t="s">
        <v>42</v>
      </c>
      <c r="B61" s="32" t="s">
        <v>59</v>
      </c>
      <c r="C61" s="32" t="s">
        <v>58</v>
      </c>
      <c r="D61" s="4" t="s">
        <v>579</v>
      </c>
      <c r="E61" s="4" t="s">
        <v>400</v>
      </c>
      <c r="F61" s="33" t="s">
        <v>574</v>
      </c>
      <c r="G61" s="33" t="s">
        <v>561</v>
      </c>
      <c r="H61" s="34" t="s">
        <v>459</v>
      </c>
      <c r="I61" s="35" t="s">
        <v>573</v>
      </c>
      <c r="J61" s="36" t="s">
        <v>564</v>
      </c>
      <c r="K61" s="37"/>
    </row>
    <row r="62" spans="1:11" ht="16.5">
      <c r="A62" s="40" t="s">
        <v>42</v>
      </c>
      <c r="B62" s="32" t="s">
        <v>59</v>
      </c>
      <c r="C62" s="39" t="s">
        <v>58</v>
      </c>
      <c r="D62" s="38" t="s">
        <v>616</v>
      </c>
      <c r="E62" s="38" t="s">
        <v>443</v>
      </c>
      <c r="F62" s="33" t="s">
        <v>574</v>
      </c>
      <c r="G62" s="33" t="s">
        <v>561</v>
      </c>
      <c r="H62" s="38" t="s">
        <v>460</v>
      </c>
      <c r="I62" s="38" t="s">
        <v>643</v>
      </c>
      <c r="J62" s="36" t="s">
        <v>564</v>
      </c>
      <c r="K62" s="37"/>
    </row>
    <row r="63" spans="1:11" ht="16.5">
      <c r="A63" s="40" t="s">
        <v>42</v>
      </c>
      <c r="B63" s="32" t="s">
        <v>59</v>
      </c>
      <c r="C63" s="32" t="s">
        <v>58</v>
      </c>
      <c r="D63" s="38" t="s">
        <v>587</v>
      </c>
      <c r="E63" s="38" t="s">
        <v>410</v>
      </c>
      <c r="F63" s="33" t="s">
        <v>574</v>
      </c>
      <c r="G63" s="33" t="s">
        <v>561</v>
      </c>
      <c r="H63" s="34" t="s">
        <v>459</v>
      </c>
      <c r="I63" s="35" t="s">
        <v>589</v>
      </c>
      <c r="J63" s="36" t="s">
        <v>564</v>
      </c>
      <c r="K63" s="41" t="s">
        <v>618</v>
      </c>
    </row>
    <row r="64" spans="1:11" ht="16.5">
      <c r="A64" s="40" t="s">
        <v>42</v>
      </c>
      <c r="B64" s="32" t="s">
        <v>59</v>
      </c>
      <c r="C64" s="32" t="s">
        <v>58</v>
      </c>
      <c r="D64" s="38" t="s">
        <v>570</v>
      </c>
      <c r="E64" s="38" t="s">
        <v>391</v>
      </c>
      <c r="F64" s="33" t="s">
        <v>574</v>
      </c>
      <c r="G64" s="33" t="s">
        <v>561</v>
      </c>
      <c r="H64" s="34" t="s">
        <v>461</v>
      </c>
      <c r="I64" s="38" t="s">
        <v>644</v>
      </c>
      <c r="J64" s="36" t="s">
        <v>564</v>
      </c>
      <c r="K64" s="41" t="s">
        <v>618</v>
      </c>
    </row>
    <row r="65" spans="1:11" ht="16.5">
      <c r="A65" s="22" t="s">
        <v>32</v>
      </c>
      <c r="B65" s="32" t="s">
        <v>69</v>
      </c>
      <c r="C65" s="32" t="s">
        <v>68</v>
      </c>
      <c r="D65" s="4" t="s">
        <v>577</v>
      </c>
      <c r="E65" s="4" t="s">
        <v>398</v>
      </c>
      <c r="F65" s="33" t="s">
        <v>574</v>
      </c>
      <c r="G65" s="33" t="s">
        <v>561</v>
      </c>
      <c r="H65" s="34" t="s">
        <v>645</v>
      </c>
      <c r="I65" s="35" t="s">
        <v>619</v>
      </c>
      <c r="J65" s="36" t="s">
        <v>564</v>
      </c>
      <c r="K65" s="37"/>
    </row>
    <row r="66" spans="1:11" ht="16.5">
      <c r="A66" s="22" t="s">
        <v>32</v>
      </c>
      <c r="B66" s="32" t="s">
        <v>69</v>
      </c>
      <c r="C66" s="32" t="s">
        <v>68</v>
      </c>
      <c r="D66" s="4" t="s">
        <v>623</v>
      </c>
      <c r="E66" s="4" t="s">
        <v>448</v>
      </c>
      <c r="F66" s="33" t="s">
        <v>574</v>
      </c>
      <c r="G66" s="33" t="s">
        <v>561</v>
      </c>
      <c r="H66" s="38" t="s">
        <v>646</v>
      </c>
      <c r="I66" s="35" t="s">
        <v>622</v>
      </c>
      <c r="J66" s="36" t="s">
        <v>564</v>
      </c>
      <c r="K66" s="37"/>
    </row>
    <row r="67" spans="1:11" ht="16.5">
      <c r="A67" s="22" t="s">
        <v>32</v>
      </c>
      <c r="B67" s="32" t="s">
        <v>69</v>
      </c>
      <c r="C67" s="32" t="s">
        <v>68</v>
      </c>
      <c r="D67" s="4" t="s">
        <v>580</v>
      </c>
      <c r="E67" s="4" t="s">
        <v>402</v>
      </c>
      <c r="F67" s="33" t="s">
        <v>574</v>
      </c>
      <c r="G67" s="33" t="s">
        <v>561</v>
      </c>
      <c r="H67" s="34" t="s">
        <v>463</v>
      </c>
      <c r="I67" s="35" t="s">
        <v>619</v>
      </c>
      <c r="J67" s="36" t="s">
        <v>564</v>
      </c>
      <c r="K67" s="37"/>
    </row>
    <row r="68" spans="1:11" ht="16.5">
      <c r="A68" s="22" t="s">
        <v>32</v>
      </c>
      <c r="B68" s="32" t="s">
        <v>69</v>
      </c>
      <c r="C68" s="32" t="s">
        <v>68</v>
      </c>
      <c r="D68" s="4" t="s">
        <v>572</v>
      </c>
      <c r="E68" s="4" t="s">
        <v>396</v>
      </c>
      <c r="F68" s="33" t="s">
        <v>574</v>
      </c>
      <c r="G68" s="33" t="s">
        <v>561</v>
      </c>
      <c r="H68" s="34" t="s">
        <v>463</v>
      </c>
      <c r="I68" s="35" t="s">
        <v>622</v>
      </c>
      <c r="J68" s="36" t="s">
        <v>564</v>
      </c>
      <c r="K68" s="37"/>
    </row>
    <row r="69" spans="1:11" ht="16.5">
      <c r="A69" s="22" t="s">
        <v>32</v>
      </c>
      <c r="B69" s="32" t="s">
        <v>69</v>
      </c>
      <c r="C69" s="32" t="s">
        <v>68</v>
      </c>
      <c r="D69" s="38" t="s">
        <v>587</v>
      </c>
      <c r="E69" s="38" t="s">
        <v>410</v>
      </c>
      <c r="F69" s="33" t="s">
        <v>574</v>
      </c>
      <c r="G69" s="33" t="s">
        <v>561</v>
      </c>
      <c r="H69" s="34" t="s">
        <v>647</v>
      </c>
      <c r="I69" s="35" t="s">
        <v>589</v>
      </c>
      <c r="J69" s="36" t="s">
        <v>564</v>
      </c>
      <c r="K69" s="37"/>
    </row>
    <row r="70" spans="1:11" ht="16.5">
      <c r="A70" s="22" t="s">
        <v>32</v>
      </c>
      <c r="B70" s="32" t="s">
        <v>69</v>
      </c>
      <c r="C70" s="32" t="s">
        <v>68</v>
      </c>
      <c r="D70" s="38" t="s">
        <v>579</v>
      </c>
      <c r="E70" s="38" t="s">
        <v>400</v>
      </c>
      <c r="F70" s="33" t="s">
        <v>574</v>
      </c>
      <c r="G70" s="33" t="s">
        <v>561</v>
      </c>
      <c r="H70" s="38" t="s">
        <v>648</v>
      </c>
      <c r="I70" s="35" t="s">
        <v>573</v>
      </c>
      <c r="J70" s="36" t="s">
        <v>564</v>
      </c>
      <c r="K70" s="37"/>
    </row>
    <row r="71" spans="1:11" ht="33">
      <c r="A71" s="22" t="s">
        <v>29</v>
      </c>
      <c r="B71" s="32" t="s">
        <v>34</v>
      </c>
      <c r="C71" s="39" t="s">
        <v>33</v>
      </c>
      <c r="D71" s="4" t="s">
        <v>649</v>
      </c>
      <c r="E71" s="4" t="s">
        <v>464</v>
      </c>
      <c r="F71" s="33" t="s">
        <v>104</v>
      </c>
      <c r="G71" s="33" t="s">
        <v>561</v>
      </c>
      <c r="H71" s="38" t="s">
        <v>465</v>
      </c>
      <c r="I71" s="35" t="s">
        <v>650</v>
      </c>
      <c r="J71" s="36" t="s">
        <v>564</v>
      </c>
      <c r="K71" s="37" t="s">
        <v>651</v>
      </c>
    </row>
    <row r="72" spans="1:11" ht="33">
      <c r="A72" s="22" t="s">
        <v>29</v>
      </c>
      <c r="B72" s="32" t="s">
        <v>34</v>
      </c>
      <c r="C72" s="39" t="s">
        <v>33</v>
      </c>
      <c r="D72" s="4" t="s">
        <v>652</v>
      </c>
      <c r="E72" s="4" t="s">
        <v>466</v>
      </c>
      <c r="F72" s="33" t="s">
        <v>104</v>
      </c>
      <c r="G72" s="33" t="s">
        <v>561</v>
      </c>
      <c r="H72" s="38" t="s">
        <v>467</v>
      </c>
      <c r="I72" s="35" t="s">
        <v>650</v>
      </c>
      <c r="J72" s="36" t="s">
        <v>564</v>
      </c>
      <c r="K72" s="37" t="s">
        <v>651</v>
      </c>
    </row>
    <row r="73" spans="1:11" ht="16.5">
      <c r="A73" s="22" t="s">
        <v>29</v>
      </c>
      <c r="B73" s="32" t="s">
        <v>34</v>
      </c>
      <c r="C73" s="39" t="s">
        <v>33</v>
      </c>
      <c r="D73" s="4" t="s">
        <v>572</v>
      </c>
      <c r="E73" s="4" t="s">
        <v>396</v>
      </c>
      <c r="F73" s="33" t="s">
        <v>104</v>
      </c>
      <c r="G73" s="33" t="s">
        <v>561</v>
      </c>
      <c r="H73" s="34" t="s">
        <v>653</v>
      </c>
      <c r="I73" s="35" t="s">
        <v>573</v>
      </c>
      <c r="J73" s="36" t="s">
        <v>564</v>
      </c>
      <c r="K73" s="37" t="s">
        <v>651</v>
      </c>
    </row>
    <row r="74" spans="1:11" ht="16.5">
      <c r="A74" s="22" t="s">
        <v>29</v>
      </c>
      <c r="B74" s="32" t="s">
        <v>34</v>
      </c>
      <c r="C74" s="39" t="s">
        <v>33</v>
      </c>
      <c r="D74" s="4" t="s">
        <v>579</v>
      </c>
      <c r="E74" s="4" t="s">
        <v>400</v>
      </c>
      <c r="F74" s="33" t="s">
        <v>104</v>
      </c>
      <c r="G74" s="33" t="s">
        <v>561</v>
      </c>
      <c r="H74" s="38" t="s">
        <v>469</v>
      </c>
      <c r="I74" s="35" t="s">
        <v>573</v>
      </c>
      <c r="J74" s="36" t="s">
        <v>564</v>
      </c>
      <c r="K74" s="37" t="s">
        <v>651</v>
      </c>
    </row>
    <row r="75" spans="1:11" ht="16.5">
      <c r="A75" s="22" t="s">
        <v>29</v>
      </c>
      <c r="B75" s="32" t="s">
        <v>34</v>
      </c>
      <c r="C75" s="39" t="s">
        <v>33</v>
      </c>
      <c r="D75" s="4" t="s">
        <v>565</v>
      </c>
      <c r="E75" s="4" t="s">
        <v>385</v>
      </c>
      <c r="F75" s="33" t="s">
        <v>104</v>
      </c>
      <c r="G75" s="33" t="s">
        <v>561</v>
      </c>
      <c r="H75" s="38" t="s">
        <v>470</v>
      </c>
      <c r="I75" s="35" t="s">
        <v>567</v>
      </c>
      <c r="J75" s="36" t="s">
        <v>564</v>
      </c>
      <c r="K75" s="37" t="s">
        <v>651</v>
      </c>
    </row>
    <row r="76" spans="1:11" ht="16.5">
      <c r="A76" s="22" t="s">
        <v>29</v>
      </c>
      <c r="B76" s="32" t="s">
        <v>34</v>
      </c>
      <c r="C76" s="39" t="s">
        <v>33</v>
      </c>
      <c r="D76" s="4" t="s">
        <v>570</v>
      </c>
      <c r="E76" s="4" t="s">
        <v>391</v>
      </c>
      <c r="F76" s="33" t="s">
        <v>104</v>
      </c>
      <c r="G76" s="33" t="s">
        <v>561</v>
      </c>
      <c r="H76" s="38" t="s">
        <v>654</v>
      </c>
      <c r="I76" s="35" t="s">
        <v>567</v>
      </c>
      <c r="J76" s="36" t="s">
        <v>564</v>
      </c>
      <c r="K76" s="37" t="s">
        <v>651</v>
      </c>
    </row>
    <row r="77" spans="1:11" ht="16.5">
      <c r="A77" s="22" t="s">
        <v>19</v>
      </c>
      <c r="B77" s="32" t="s">
        <v>39</v>
      </c>
      <c r="C77" s="32" t="s">
        <v>38</v>
      </c>
      <c r="D77" s="4" t="s">
        <v>572</v>
      </c>
      <c r="E77" s="4" t="s">
        <v>396</v>
      </c>
      <c r="F77" s="33" t="s">
        <v>104</v>
      </c>
      <c r="G77" s="33" t="s">
        <v>561</v>
      </c>
      <c r="H77" s="34" t="s">
        <v>655</v>
      </c>
      <c r="I77" s="35" t="s">
        <v>622</v>
      </c>
      <c r="J77" s="36" t="s">
        <v>564</v>
      </c>
      <c r="K77" s="37"/>
    </row>
    <row r="78" spans="1:11" ht="16.5">
      <c r="A78" s="22" t="s">
        <v>19</v>
      </c>
      <c r="B78" s="32" t="s">
        <v>39</v>
      </c>
      <c r="C78" s="32" t="s">
        <v>38</v>
      </c>
      <c r="D78" s="4" t="s">
        <v>580</v>
      </c>
      <c r="E78" s="4" t="s">
        <v>402</v>
      </c>
      <c r="F78" s="33" t="s">
        <v>104</v>
      </c>
      <c r="G78" s="33" t="s">
        <v>561</v>
      </c>
      <c r="H78" s="38" t="s">
        <v>475</v>
      </c>
      <c r="I78" s="35" t="s">
        <v>619</v>
      </c>
      <c r="J78" s="36" t="s">
        <v>564</v>
      </c>
      <c r="K78" s="37"/>
    </row>
    <row r="79" spans="1:11" ht="16.5">
      <c r="A79" s="22" t="s">
        <v>19</v>
      </c>
      <c r="B79" s="32" t="s">
        <v>39</v>
      </c>
      <c r="C79" s="32" t="s">
        <v>38</v>
      </c>
      <c r="D79" s="4" t="s">
        <v>623</v>
      </c>
      <c r="E79" s="4" t="s">
        <v>448</v>
      </c>
      <c r="F79" s="33" t="s">
        <v>104</v>
      </c>
      <c r="G79" s="33" t="s">
        <v>561</v>
      </c>
      <c r="H79" s="34" t="s">
        <v>476</v>
      </c>
      <c r="I79" s="35" t="s">
        <v>622</v>
      </c>
      <c r="J79" s="36" t="s">
        <v>564</v>
      </c>
      <c r="K79" s="37"/>
    </row>
    <row r="80" spans="1:11" ht="16.5">
      <c r="A80" s="22" t="s">
        <v>19</v>
      </c>
      <c r="B80" s="32" t="s">
        <v>39</v>
      </c>
      <c r="C80" s="32" t="s">
        <v>38</v>
      </c>
      <c r="D80" s="4" t="s">
        <v>570</v>
      </c>
      <c r="E80" s="4" t="s">
        <v>391</v>
      </c>
      <c r="F80" s="33" t="s">
        <v>104</v>
      </c>
      <c r="G80" s="33" t="s">
        <v>561</v>
      </c>
      <c r="H80" s="34" t="s">
        <v>477</v>
      </c>
      <c r="I80" s="35" t="s">
        <v>656</v>
      </c>
      <c r="J80" s="36" t="s">
        <v>564</v>
      </c>
      <c r="K80" s="37"/>
    </row>
    <row r="81" spans="1:11" ht="33">
      <c r="A81" s="22" t="s">
        <v>19</v>
      </c>
      <c r="B81" s="32" t="s">
        <v>39</v>
      </c>
      <c r="C81" s="32" t="s">
        <v>38</v>
      </c>
      <c r="D81" s="4" t="s">
        <v>657</v>
      </c>
      <c r="E81" s="4" t="s">
        <v>478</v>
      </c>
      <c r="F81" s="33" t="s">
        <v>104</v>
      </c>
      <c r="G81" s="33" t="s">
        <v>561</v>
      </c>
      <c r="H81" s="38" t="s">
        <v>428</v>
      </c>
      <c r="I81" s="35" t="s">
        <v>658</v>
      </c>
      <c r="J81" s="36" t="s">
        <v>564</v>
      </c>
      <c r="K81" s="37"/>
    </row>
    <row r="82" spans="1:11" ht="16.5">
      <c r="A82" s="22" t="s">
        <v>19</v>
      </c>
      <c r="B82" s="32" t="s">
        <v>39</v>
      </c>
      <c r="C82" s="32" t="s">
        <v>38</v>
      </c>
      <c r="D82" s="38" t="s">
        <v>659</v>
      </c>
      <c r="E82" s="38" t="s">
        <v>479</v>
      </c>
      <c r="F82" s="33" t="s">
        <v>104</v>
      </c>
      <c r="G82" s="33" t="s">
        <v>561</v>
      </c>
      <c r="H82" s="34" t="s">
        <v>480</v>
      </c>
      <c r="I82" s="35" t="s">
        <v>660</v>
      </c>
      <c r="J82" s="36" t="s">
        <v>564</v>
      </c>
      <c r="K82" s="37"/>
    </row>
    <row r="83" spans="1:11" ht="16.5">
      <c r="A83" s="22" t="s">
        <v>19</v>
      </c>
      <c r="B83" s="32" t="s">
        <v>39</v>
      </c>
      <c r="C83" s="32" t="s">
        <v>38</v>
      </c>
      <c r="D83" s="38" t="s">
        <v>604</v>
      </c>
      <c r="E83" s="38" t="s">
        <v>429</v>
      </c>
      <c r="F83" s="33" t="s">
        <v>104</v>
      </c>
      <c r="G83" s="33" t="s">
        <v>561</v>
      </c>
      <c r="H83" s="34" t="s">
        <v>480</v>
      </c>
      <c r="I83" s="35" t="s">
        <v>661</v>
      </c>
      <c r="J83" s="36" t="s">
        <v>564</v>
      </c>
      <c r="K83" s="37"/>
    </row>
    <row r="84" spans="1:11" ht="16.5">
      <c r="A84" s="22" t="s">
        <v>19</v>
      </c>
      <c r="B84" s="32" t="s">
        <v>39</v>
      </c>
      <c r="C84" s="32" t="s">
        <v>46</v>
      </c>
      <c r="D84" s="4" t="s">
        <v>577</v>
      </c>
      <c r="E84" s="4" t="s">
        <v>398</v>
      </c>
      <c r="F84" s="33" t="s">
        <v>104</v>
      </c>
      <c r="G84" s="33" t="s">
        <v>662</v>
      </c>
      <c r="H84" s="34" t="s">
        <v>481</v>
      </c>
      <c r="I84" s="35" t="s">
        <v>619</v>
      </c>
      <c r="J84" s="36" t="s">
        <v>564</v>
      </c>
      <c r="K84" s="37"/>
    </row>
    <row r="85" spans="1:11" ht="16.5">
      <c r="A85" s="22" t="s">
        <v>19</v>
      </c>
      <c r="B85" s="32" t="s">
        <v>39</v>
      </c>
      <c r="C85" s="32" t="s">
        <v>46</v>
      </c>
      <c r="D85" s="4" t="s">
        <v>579</v>
      </c>
      <c r="E85" s="4" t="s">
        <v>400</v>
      </c>
      <c r="F85" s="33" t="s">
        <v>104</v>
      </c>
      <c r="G85" s="33" t="s">
        <v>662</v>
      </c>
      <c r="H85" s="34" t="s">
        <v>482</v>
      </c>
      <c r="I85" s="35" t="s">
        <v>573</v>
      </c>
      <c r="J85" s="36" t="s">
        <v>564</v>
      </c>
      <c r="K85" s="37"/>
    </row>
    <row r="86" spans="1:11" ht="16.5">
      <c r="A86" s="22" t="s">
        <v>19</v>
      </c>
      <c r="B86" s="32" t="s">
        <v>39</v>
      </c>
      <c r="C86" s="32" t="s">
        <v>46</v>
      </c>
      <c r="D86" s="4" t="s">
        <v>565</v>
      </c>
      <c r="E86" s="4" t="s">
        <v>385</v>
      </c>
      <c r="F86" s="33" t="s">
        <v>104</v>
      </c>
      <c r="G86" s="33" t="s">
        <v>662</v>
      </c>
      <c r="H86" s="34" t="s">
        <v>179</v>
      </c>
      <c r="I86" s="35" t="s">
        <v>567</v>
      </c>
      <c r="J86" s="36" t="s">
        <v>564</v>
      </c>
      <c r="K86" s="37"/>
    </row>
    <row r="87" spans="1:11" ht="16.5">
      <c r="A87" s="22" t="s">
        <v>19</v>
      </c>
      <c r="B87" s="32" t="s">
        <v>39</v>
      </c>
      <c r="C87" s="32" t="s">
        <v>46</v>
      </c>
      <c r="D87" s="4" t="s">
        <v>594</v>
      </c>
      <c r="E87" s="4" t="s">
        <v>418</v>
      </c>
      <c r="F87" s="33" t="s">
        <v>104</v>
      </c>
      <c r="G87" s="33" t="s">
        <v>662</v>
      </c>
      <c r="H87" s="34" t="s">
        <v>483</v>
      </c>
      <c r="I87" s="35" t="s">
        <v>663</v>
      </c>
      <c r="J87" s="36" t="s">
        <v>564</v>
      </c>
      <c r="K87" s="37"/>
    </row>
    <row r="88" spans="1:11" ht="16.5">
      <c r="A88" s="22" t="s">
        <v>19</v>
      </c>
      <c r="B88" s="32" t="s">
        <v>39</v>
      </c>
      <c r="C88" s="32" t="s">
        <v>46</v>
      </c>
      <c r="D88" s="38" t="s">
        <v>568</v>
      </c>
      <c r="E88" s="38" t="s">
        <v>389</v>
      </c>
      <c r="F88" s="33" t="s">
        <v>574</v>
      </c>
      <c r="G88" s="33" t="s">
        <v>561</v>
      </c>
      <c r="H88" s="34" t="s">
        <v>179</v>
      </c>
      <c r="I88" s="35" t="s">
        <v>603</v>
      </c>
      <c r="J88" s="36" t="s">
        <v>564</v>
      </c>
      <c r="K88" s="37"/>
    </row>
    <row r="89" spans="1:11" ht="16.5">
      <c r="A89" s="22" t="s">
        <v>19</v>
      </c>
      <c r="B89" s="32" t="s">
        <v>39</v>
      </c>
      <c r="C89" s="32" t="s">
        <v>46</v>
      </c>
      <c r="D89" s="38" t="s">
        <v>572</v>
      </c>
      <c r="E89" s="38" t="s">
        <v>396</v>
      </c>
      <c r="F89" s="33" t="s">
        <v>574</v>
      </c>
      <c r="G89" s="33" t="s">
        <v>561</v>
      </c>
      <c r="H89" s="38" t="s">
        <v>428</v>
      </c>
      <c r="I89" s="35" t="s">
        <v>573</v>
      </c>
      <c r="J89" s="36" t="s">
        <v>564</v>
      </c>
      <c r="K89" s="37"/>
    </row>
    <row r="90" spans="1:11" ht="16.5">
      <c r="A90" s="22" t="s">
        <v>19</v>
      </c>
      <c r="B90" s="32" t="s">
        <v>39</v>
      </c>
      <c r="C90" s="32" t="s">
        <v>46</v>
      </c>
      <c r="D90" s="38" t="s">
        <v>580</v>
      </c>
      <c r="E90" s="38" t="s">
        <v>402</v>
      </c>
      <c r="F90" s="33" t="s">
        <v>574</v>
      </c>
      <c r="G90" s="33" t="s">
        <v>561</v>
      </c>
      <c r="H90" s="38" t="s">
        <v>428</v>
      </c>
      <c r="I90" s="35" t="s">
        <v>619</v>
      </c>
      <c r="J90" s="36" t="s">
        <v>564</v>
      </c>
      <c r="K90" s="37"/>
    </row>
    <row r="91" spans="1:11" ht="16.5">
      <c r="A91" s="22" t="s">
        <v>51</v>
      </c>
      <c r="B91" s="32" t="s">
        <v>50</v>
      </c>
      <c r="C91" s="32" t="s">
        <v>65</v>
      </c>
      <c r="D91" s="4" t="s">
        <v>577</v>
      </c>
      <c r="E91" s="4" t="s">
        <v>398</v>
      </c>
      <c r="F91" s="33" t="s">
        <v>104</v>
      </c>
      <c r="G91" s="33" t="s">
        <v>561</v>
      </c>
      <c r="H91" s="34" t="s">
        <v>246</v>
      </c>
      <c r="I91" s="35" t="s">
        <v>619</v>
      </c>
      <c r="J91" s="36" t="s">
        <v>564</v>
      </c>
      <c r="K91" s="37"/>
    </row>
    <row r="92" spans="1:11" ht="16.5">
      <c r="A92" s="22" t="s">
        <v>51</v>
      </c>
      <c r="B92" s="32" t="s">
        <v>50</v>
      </c>
      <c r="C92" s="32" t="s">
        <v>65</v>
      </c>
      <c r="D92" s="4" t="s">
        <v>579</v>
      </c>
      <c r="E92" s="4" t="s">
        <v>400</v>
      </c>
      <c r="F92" s="33" t="s">
        <v>104</v>
      </c>
      <c r="G92" s="33" t="s">
        <v>561</v>
      </c>
      <c r="H92" s="34" t="s">
        <v>246</v>
      </c>
      <c r="I92" s="35" t="s">
        <v>573</v>
      </c>
      <c r="J92" s="36" t="s">
        <v>564</v>
      </c>
      <c r="K92" s="37"/>
    </row>
    <row r="93" spans="1:11" ht="16.5">
      <c r="A93" s="22" t="s">
        <v>51</v>
      </c>
      <c r="B93" s="32" t="s">
        <v>50</v>
      </c>
      <c r="C93" s="32" t="s">
        <v>65</v>
      </c>
      <c r="D93" s="4" t="s">
        <v>570</v>
      </c>
      <c r="E93" s="4" t="s">
        <v>391</v>
      </c>
      <c r="F93" s="33" t="s">
        <v>104</v>
      </c>
      <c r="G93" s="33" t="s">
        <v>561</v>
      </c>
      <c r="H93" s="38" t="s">
        <v>484</v>
      </c>
      <c r="I93" s="35" t="s">
        <v>663</v>
      </c>
      <c r="J93" s="36" t="s">
        <v>564</v>
      </c>
      <c r="K93" s="37"/>
    </row>
    <row r="94" spans="1:11" ht="16.5">
      <c r="A94" s="22" t="s">
        <v>51</v>
      </c>
      <c r="B94" s="32" t="s">
        <v>50</v>
      </c>
      <c r="C94" s="32" t="s">
        <v>65</v>
      </c>
      <c r="D94" s="4" t="s">
        <v>572</v>
      </c>
      <c r="E94" s="4" t="s">
        <v>396</v>
      </c>
      <c r="F94" s="33" t="s">
        <v>104</v>
      </c>
      <c r="G94" s="33" t="s">
        <v>561</v>
      </c>
      <c r="H94" s="38" t="s">
        <v>664</v>
      </c>
      <c r="I94" s="35" t="s">
        <v>573</v>
      </c>
      <c r="J94" s="36" t="s">
        <v>564</v>
      </c>
      <c r="K94" s="37"/>
    </row>
    <row r="95" spans="1:11" ht="16.5">
      <c r="A95" s="40" t="s">
        <v>51</v>
      </c>
      <c r="B95" s="32" t="s">
        <v>50</v>
      </c>
      <c r="C95" s="32" t="s">
        <v>65</v>
      </c>
      <c r="D95" s="38" t="s">
        <v>584</v>
      </c>
      <c r="E95" s="38" t="s">
        <v>407</v>
      </c>
      <c r="F95" s="33" t="s">
        <v>104</v>
      </c>
      <c r="G95" s="33" t="s">
        <v>561</v>
      </c>
      <c r="H95" s="34" t="s">
        <v>246</v>
      </c>
      <c r="I95" s="38" t="s">
        <v>665</v>
      </c>
      <c r="J95" s="36" t="s">
        <v>564</v>
      </c>
      <c r="K95" s="41" t="s">
        <v>618</v>
      </c>
    </row>
    <row r="96" spans="1:11" ht="16.5">
      <c r="A96" s="40" t="s">
        <v>51</v>
      </c>
      <c r="B96" s="32" t="s">
        <v>50</v>
      </c>
      <c r="C96" s="32" t="s">
        <v>65</v>
      </c>
      <c r="D96" s="38" t="s">
        <v>587</v>
      </c>
      <c r="E96" s="38" t="s">
        <v>410</v>
      </c>
      <c r="F96" s="33" t="s">
        <v>104</v>
      </c>
      <c r="G96" s="33" t="s">
        <v>561</v>
      </c>
      <c r="H96" s="34" t="s">
        <v>246</v>
      </c>
      <c r="I96" s="35" t="s">
        <v>589</v>
      </c>
      <c r="J96" s="36" t="s">
        <v>564</v>
      </c>
      <c r="K96" s="41" t="s">
        <v>618</v>
      </c>
    </row>
    <row r="97" spans="1:11" ht="16.5">
      <c r="A97" s="40" t="s">
        <v>51</v>
      </c>
      <c r="B97" s="32" t="s">
        <v>50</v>
      </c>
      <c r="C97" s="32" t="s">
        <v>65</v>
      </c>
      <c r="D97" s="38" t="s">
        <v>616</v>
      </c>
      <c r="E97" s="38" t="s">
        <v>443</v>
      </c>
      <c r="F97" s="33" t="s">
        <v>104</v>
      </c>
      <c r="G97" s="33" t="s">
        <v>561</v>
      </c>
      <c r="H97" s="34" t="s">
        <v>487</v>
      </c>
      <c r="I97" s="35" t="s">
        <v>643</v>
      </c>
      <c r="J97" s="36" t="s">
        <v>564</v>
      </c>
      <c r="K97" s="41" t="s">
        <v>618</v>
      </c>
    </row>
    <row r="98" spans="1:11" ht="33">
      <c r="A98" s="22" t="s">
        <v>29</v>
      </c>
      <c r="B98" s="32" t="s">
        <v>44</v>
      </c>
      <c r="C98" s="32" t="s">
        <v>62</v>
      </c>
      <c r="D98" s="4" t="s">
        <v>581</v>
      </c>
      <c r="E98" s="4" t="s">
        <v>405</v>
      </c>
      <c r="F98" s="33" t="s">
        <v>574</v>
      </c>
      <c r="G98" s="33" t="s">
        <v>561</v>
      </c>
      <c r="H98" s="34" t="s">
        <v>237</v>
      </c>
      <c r="I98" s="35" t="s">
        <v>666</v>
      </c>
      <c r="J98" s="36" t="s">
        <v>564</v>
      </c>
      <c r="K98" s="37"/>
    </row>
    <row r="99" spans="1:11" ht="16.5">
      <c r="A99" s="40" t="s">
        <v>32</v>
      </c>
      <c r="B99" s="32" t="s">
        <v>71</v>
      </c>
      <c r="C99" s="32" t="s">
        <v>70</v>
      </c>
      <c r="D99" s="4" t="s">
        <v>623</v>
      </c>
      <c r="E99" s="4" t="s">
        <v>448</v>
      </c>
      <c r="F99" s="33" t="s">
        <v>574</v>
      </c>
      <c r="G99" s="33" t="s">
        <v>561</v>
      </c>
      <c r="H99" s="34" t="s">
        <v>667</v>
      </c>
      <c r="I99" s="35" t="s">
        <v>622</v>
      </c>
      <c r="J99" s="36" t="s">
        <v>564</v>
      </c>
      <c r="K99" s="37"/>
    </row>
    <row r="100" spans="1:11" ht="16.5">
      <c r="A100" s="40" t="s">
        <v>32</v>
      </c>
      <c r="B100" s="32" t="s">
        <v>71</v>
      </c>
      <c r="C100" s="32" t="s">
        <v>70</v>
      </c>
      <c r="D100" s="4" t="s">
        <v>577</v>
      </c>
      <c r="E100" s="4" t="s">
        <v>398</v>
      </c>
      <c r="F100" s="33" t="s">
        <v>574</v>
      </c>
      <c r="G100" s="33" t="s">
        <v>561</v>
      </c>
      <c r="H100" s="34" t="s">
        <v>667</v>
      </c>
      <c r="I100" s="35" t="s">
        <v>619</v>
      </c>
      <c r="J100" s="36" t="s">
        <v>564</v>
      </c>
      <c r="K100" s="37"/>
    </row>
    <row r="101" spans="1:11" ht="16.5">
      <c r="A101" s="40" t="s">
        <v>32</v>
      </c>
      <c r="B101" s="32" t="s">
        <v>71</v>
      </c>
      <c r="C101" s="32" t="s">
        <v>70</v>
      </c>
      <c r="D101" s="4" t="s">
        <v>579</v>
      </c>
      <c r="E101" s="4" t="s">
        <v>400</v>
      </c>
      <c r="F101" s="33" t="s">
        <v>574</v>
      </c>
      <c r="G101" s="33" t="s">
        <v>561</v>
      </c>
      <c r="H101" s="38" t="s">
        <v>488</v>
      </c>
      <c r="I101" s="35" t="s">
        <v>573</v>
      </c>
      <c r="J101" s="36" t="s">
        <v>564</v>
      </c>
      <c r="K101" s="37"/>
    </row>
    <row r="102" spans="1:11" ht="16.5">
      <c r="A102" s="40" t="s">
        <v>32</v>
      </c>
      <c r="B102" s="32" t="s">
        <v>71</v>
      </c>
      <c r="C102" s="32" t="s">
        <v>70</v>
      </c>
      <c r="D102" s="4" t="s">
        <v>580</v>
      </c>
      <c r="E102" s="4" t="s">
        <v>402</v>
      </c>
      <c r="F102" s="33" t="s">
        <v>574</v>
      </c>
      <c r="G102" s="33" t="s">
        <v>561</v>
      </c>
      <c r="H102" s="38" t="s">
        <v>489</v>
      </c>
      <c r="I102" s="35" t="s">
        <v>619</v>
      </c>
      <c r="J102" s="36" t="s">
        <v>564</v>
      </c>
      <c r="K102" s="37"/>
    </row>
    <row r="103" spans="1:11" ht="16.5">
      <c r="A103" s="42" t="s">
        <v>32</v>
      </c>
      <c r="B103" s="32" t="s">
        <v>71</v>
      </c>
      <c r="C103" s="32" t="s">
        <v>70</v>
      </c>
      <c r="D103" s="38" t="s">
        <v>587</v>
      </c>
      <c r="E103" s="38" t="s">
        <v>410</v>
      </c>
      <c r="F103" s="33" t="s">
        <v>104</v>
      </c>
      <c r="G103" s="33" t="s">
        <v>561</v>
      </c>
      <c r="H103" s="38" t="s">
        <v>428</v>
      </c>
      <c r="I103" s="35" t="s">
        <v>589</v>
      </c>
      <c r="J103" s="36" t="s">
        <v>564</v>
      </c>
      <c r="K103" s="41" t="s">
        <v>618</v>
      </c>
    </row>
    <row r="104" spans="1:11" ht="16.5">
      <c r="A104" s="42" t="s">
        <v>32</v>
      </c>
      <c r="B104" s="32" t="s">
        <v>71</v>
      </c>
      <c r="C104" s="32" t="s">
        <v>70</v>
      </c>
      <c r="D104" s="4" t="s">
        <v>584</v>
      </c>
      <c r="E104" s="4" t="s">
        <v>407</v>
      </c>
      <c r="F104" s="33" t="s">
        <v>104</v>
      </c>
      <c r="G104" s="33" t="s">
        <v>561</v>
      </c>
      <c r="H104" s="38" t="s">
        <v>668</v>
      </c>
      <c r="I104" s="35" t="s">
        <v>665</v>
      </c>
      <c r="J104" s="36" t="s">
        <v>564</v>
      </c>
      <c r="K104" s="41" t="s">
        <v>618</v>
      </c>
    </row>
    <row r="105" spans="1:11" ht="16.5">
      <c r="A105" s="42" t="s">
        <v>32</v>
      </c>
      <c r="B105" s="32" t="s">
        <v>71</v>
      </c>
      <c r="C105" s="32" t="s">
        <v>70</v>
      </c>
      <c r="D105" s="38" t="s">
        <v>572</v>
      </c>
      <c r="E105" s="38" t="s">
        <v>396</v>
      </c>
      <c r="F105" s="33" t="s">
        <v>104</v>
      </c>
      <c r="G105" s="33" t="s">
        <v>561</v>
      </c>
      <c r="H105" s="38" t="s">
        <v>428</v>
      </c>
      <c r="I105" s="35" t="s">
        <v>589</v>
      </c>
      <c r="J105" s="36" t="s">
        <v>564</v>
      </c>
      <c r="K105" s="41" t="s">
        <v>618</v>
      </c>
    </row>
    <row r="106" spans="1:11" ht="16.5">
      <c r="A106" s="22" t="s">
        <v>42</v>
      </c>
      <c r="B106" s="32" t="s">
        <v>95</v>
      </c>
      <c r="C106" s="32" t="s">
        <v>94</v>
      </c>
      <c r="D106" s="38" t="s">
        <v>572</v>
      </c>
      <c r="E106" s="38" t="s">
        <v>396</v>
      </c>
      <c r="F106" s="33" t="s">
        <v>574</v>
      </c>
      <c r="G106" s="33" t="s">
        <v>561</v>
      </c>
      <c r="H106" s="34" t="s">
        <v>669</v>
      </c>
      <c r="I106" s="35" t="s">
        <v>573</v>
      </c>
      <c r="J106" s="36" t="s">
        <v>575</v>
      </c>
      <c r="K106" s="37"/>
    </row>
    <row r="107" spans="1:11" ht="16.5">
      <c r="A107" s="22" t="s">
        <v>42</v>
      </c>
      <c r="B107" s="32" t="s">
        <v>95</v>
      </c>
      <c r="C107" s="32" t="s">
        <v>94</v>
      </c>
      <c r="D107" s="38" t="s">
        <v>579</v>
      </c>
      <c r="E107" s="38" t="s">
        <v>400</v>
      </c>
      <c r="F107" s="33" t="s">
        <v>574</v>
      </c>
      <c r="G107" s="33" t="s">
        <v>561</v>
      </c>
      <c r="H107" s="34" t="s">
        <v>670</v>
      </c>
      <c r="I107" s="35" t="s">
        <v>573</v>
      </c>
      <c r="J107" s="36" t="s">
        <v>575</v>
      </c>
      <c r="K107" s="37"/>
    </row>
    <row r="108" spans="1:11" ht="16.5">
      <c r="A108" s="22" t="s">
        <v>42</v>
      </c>
      <c r="B108" s="32" t="s">
        <v>95</v>
      </c>
      <c r="C108" s="32" t="s">
        <v>94</v>
      </c>
      <c r="D108" s="38" t="s">
        <v>616</v>
      </c>
      <c r="E108" s="38" t="s">
        <v>443</v>
      </c>
      <c r="F108" s="33" t="s">
        <v>574</v>
      </c>
      <c r="G108" s="33" t="s">
        <v>561</v>
      </c>
      <c r="H108" s="38" t="s">
        <v>428</v>
      </c>
      <c r="I108" s="35" t="s">
        <v>671</v>
      </c>
      <c r="J108" s="36" t="s">
        <v>575</v>
      </c>
      <c r="K108" s="37"/>
    </row>
    <row r="109" spans="1:11" ht="16.5">
      <c r="A109" s="22" t="s">
        <v>42</v>
      </c>
      <c r="B109" s="32" t="s">
        <v>95</v>
      </c>
      <c r="C109" s="39" t="s">
        <v>94</v>
      </c>
      <c r="D109" s="38" t="s">
        <v>570</v>
      </c>
      <c r="E109" s="38" t="s">
        <v>391</v>
      </c>
      <c r="F109" s="33" t="s">
        <v>574</v>
      </c>
      <c r="G109" s="33" t="s">
        <v>561</v>
      </c>
      <c r="H109" s="34" t="s">
        <v>495</v>
      </c>
      <c r="I109" s="35" t="s">
        <v>671</v>
      </c>
      <c r="J109" s="36" t="s">
        <v>575</v>
      </c>
      <c r="K109" s="37"/>
    </row>
    <row r="110" spans="1:11" ht="16.5">
      <c r="A110" s="40" t="s">
        <v>32</v>
      </c>
      <c r="B110" s="32" t="s">
        <v>31</v>
      </c>
      <c r="C110" s="32" t="s">
        <v>89</v>
      </c>
      <c r="D110" s="4" t="s">
        <v>620</v>
      </c>
      <c r="E110" s="4" t="s">
        <v>446</v>
      </c>
      <c r="F110" s="33" t="s">
        <v>574</v>
      </c>
      <c r="G110" s="33" t="s">
        <v>561</v>
      </c>
      <c r="H110" s="34" t="s">
        <v>496</v>
      </c>
      <c r="I110" s="35" t="s">
        <v>638</v>
      </c>
      <c r="J110" s="36" t="s">
        <v>564</v>
      </c>
      <c r="K110" s="37"/>
    </row>
    <row r="111" spans="1:11" ht="16.5">
      <c r="A111" s="40" t="s">
        <v>32</v>
      </c>
      <c r="B111" s="32" t="s">
        <v>31</v>
      </c>
      <c r="C111" s="39" t="s">
        <v>89</v>
      </c>
      <c r="D111" s="4" t="s">
        <v>580</v>
      </c>
      <c r="E111" s="4" t="s">
        <v>402</v>
      </c>
      <c r="F111" s="33" t="s">
        <v>574</v>
      </c>
      <c r="G111" s="33" t="s">
        <v>561</v>
      </c>
      <c r="H111" s="38" t="s">
        <v>497</v>
      </c>
      <c r="I111" s="35" t="s">
        <v>638</v>
      </c>
      <c r="J111" s="36" t="s">
        <v>564</v>
      </c>
      <c r="K111" s="37" t="s">
        <v>496</v>
      </c>
    </row>
    <row r="112" spans="1:11" ht="16.5">
      <c r="A112" s="40" t="s">
        <v>32</v>
      </c>
      <c r="B112" s="32" t="s">
        <v>31</v>
      </c>
      <c r="C112" s="32" t="s">
        <v>89</v>
      </c>
      <c r="D112" s="4" t="s">
        <v>577</v>
      </c>
      <c r="E112" s="4" t="s">
        <v>398</v>
      </c>
      <c r="F112" s="33" t="s">
        <v>574</v>
      </c>
      <c r="G112" s="33" t="s">
        <v>561</v>
      </c>
      <c r="H112" s="34" t="s">
        <v>672</v>
      </c>
      <c r="I112" s="35" t="s">
        <v>638</v>
      </c>
      <c r="J112" s="36" t="s">
        <v>564</v>
      </c>
      <c r="K112" s="37"/>
    </row>
    <row r="113" spans="1:11" ht="16.5">
      <c r="A113" s="22" t="s">
        <v>32</v>
      </c>
      <c r="B113" s="32" t="s">
        <v>31</v>
      </c>
      <c r="C113" s="32" t="s">
        <v>30</v>
      </c>
      <c r="D113" s="4" t="s">
        <v>570</v>
      </c>
      <c r="E113" s="4" t="s">
        <v>391</v>
      </c>
      <c r="F113" s="33" t="s">
        <v>104</v>
      </c>
      <c r="G113" s="33" t="s">
        <v>561</v>
      </c>
      <c r="H113" s="34" t="s">
        <v>673</v>
      </c>
      <c r="I113" s="35" t="s">
        <v>674</v>
      </c>
      <c r="J113" s="36" t="s">
        <v>575</v>
      </c>
      <c r="K113" s="37"/>
    </row>
    <row r="114" spans="1:11" ht="16.5">
      <c r="A114" s="22" t="s">
        <v>32</v>
      </c>
      <c r="B114" s="32" t="s">
        <v>31</v>
      </c>
      <c r="C114" s="32" t="s">
        <v>30</v>
      </c>
      <c r="D114" s="4" t="s">
        <v>565</v>
      </c>
      <c r="E114" s="4" t="s">
        <v>385</v>
      </c>
      <c r="F114" s="33" t="s">
        <v>104</v>
      </c>
      <c r="G114" s="33" t="s">
        <v>561</v>
      </c>
      <c r="H114" s="34" t="s">
        <v>501</v>
      </c>
      <c r="I114" s="35" t="s">
        <v>567</v>
      </c>
      <c r="J114" s="36" t="s">
        <v>575</v>
      </c>
      <c r="K114" s="37"/>
    </row>
    <row r="115" spans="1:11" ht="16.5">
      <c r="A115" s="22" t="s">
        <v>32</v>
      </c>
      <c r="B115" s="32" t="s">
        <v>31</v>
      </c>
      <c r="C115" s="32" t="s">
        <v>30</v>
      </c>
      <c r="D115" s="4" t="s">
        <v>568</v>
      </c>
      <c r="E115" s="4" t="s">
        <v>389</v>
      </c>
      <c r="F115" s="33" t="s">
        <v>104</v>
      </c>
      <c r="G115" s="33" t="s">
        <v>561</v>
      </c>
      <c r="H115" s="38" t="s">
        <v>502</v>
      </c>
      <c r="I115" s="35" t="s">
        <v>675</v>
      </c>
      <c r="J115" s="36" t="s">
        <v>575</v>
      </c>
      <c r="K115" s="37"/>
    </row>
    <row r="116" spans="1:11" ht="16.5">
      <c r="A116" s="22" t="s">
        <v>32</v>
      </c>
      <c r="B116" s="32" t="s">
        <v>31</v>
      </c>
      <c r="C116" s="32" t="s">
        <v>30</v>
      </c>
      <c r="D116" s="4" t="s">
        <v>594</v>
      </c>
      <c r="E116" s="4" t="s">
        <v>418</v>
      </c>
      <c r="F116" s="33" t="s">
        <v>104</v>
      </c>
      <c r="G116" s="33" t="s">
        <v>561</v>
      </c>
      <c r="H116" s="34" t="s">
        <v>503</v>
      </c>
      <c r="I116" s="35" t="s">
        <v>676</v>
      </c>
      <c r="J116" s="36" t="s">
        <v>575</v>
      </c>
      <c r="K116" s="37"/>
    </row>
    <row r="117" spans="1:11" ht="16.5">
      <c r="A117" s="40" t="s">
        <v>26</v>
      </c>
      <c r="B117" s="32" t="s">
        <v>36</v>
      </c>
      <c r="C117" s="32" t="s">
        <v>504</v>
      </c>
      <c r="D117" s="38" t="s">
        <v>580</v>
      </c>
      <c r="E117" s="38" t="s">
        <v>402</v>
      </c>
      <c r="F117" s="33" t="s">
        <v>104</v>
      </c>
      <c r="G117" s="33" t="s">
        <v>561</v>
      </c>
      <c r="H117" s="34" t="s">
        <v>677</v>
      </c>
      <c r="I117" s="35" t="s">
        <v>619</v>
      </c>
      <c r="J117" s="36" t="e">
        <v>#N/A</v>
      </c>
      <c r="K117" s="37"/>
    </row>
    <row r="118" spans="1:11" ht="16.5">
      <c r="A118" s="22" t="s">
        <v>26</v>
      </c>
      <c r="B118" s="32" t="s">
        <v>36</v>
      </c>
      <c r="C118" s="32" t="s">
        <v>504</v>
      </c>
      <c r="D118" s="38" t="s">
        <v>620</v>
      </c>
      <c r="E118" s="38" t="s">
        <v>446</v>
      </c>
      <c r="F118" s="33" t="s">
        <v>104</v>
      </c>
      <c r="G118" s="33" t="s">
        <v>561</v>
      </c>
      <c r="H118" s="67" t="s">
        <v>678</v>
      </c>
      <c r="I118" s="35" t="s">
        <v>638</v>
      </c>
      <c r="J118" s="36" t="e">
        <v>#N/A</v>
      </c>
      <c r="K118" s="37"/>
    </row>
    <row r="119" spans="1:11" ht="16.5">
      <c r="A119" s="22" t="s">
        <v>26</v>
      </c>
      <c r="B119" s="32" t="s">
        <v>36</v>
      </c>
      <c r="C119" s="32" t="s">
        <v>504</v>
      </c>
      <c r="D119" s="4" t="s">
        <v>568</v>
      </c>
      <c r="E119" s="4" t="s">
        <v>389</v>
      </c>
      <c r="F119" s="33" t="s">
        <v>104</v>
      </c>
      <c r="G119" s="33" t="s">
        <v>561</v>
      </c>
      <c r="H119" s="38" t="s">
        <v>509</v>
      </c>
      <c r="I119" s="35" t="s">
        <v>679</v>
      </c>
      <c r="J119" s="36" t="e">
        <v>#N/A</v>
      </c>
      <c r="K119" s="37"/>
    </row>
    <row r="120" spans="1:11" ht="16.5">
      <c r="A120" s="40" t="s">
        <v>26</v>
      </c>
      <c r="B120" s="32" t="s">
        <v>36</v>
      </c>
      <c r="C120" s="32" t="s">
        <v>504</v>
      </c>
      <c r="D120" s="38" t="s">
        <v>570</v>
      </c>
      <c r="E120" s="38" t="s">
        <v>391</v>
      </c>
      <c r="F120" s="33" t="s">
        <v>104</v>
      </c>
      <c r="G120" s="33" t="s">
        <v>561</v>
      </c>
      <c r="H120" s="34" t="s">
        <v>510</v>
      </c>
      <c r="I120" s="35" t="s">
        <v>656</v>
      </c>
      <c r="J120" s="36" t="e">
        <v>#N/A</v>
      </c>
      <c r="K120" s="41" t="s">
        <v>618</v>
      </c>
    </row>
    <row r="121" spans="1:11" ht="33">
      <c r="A121" s="22" t="s">
        <v>26</v>
      </c>
      <c r="B121" s="32" t="s">
        <v>36</v>
      </c>
      <c r="C121" s="32" t="s">
        <v>35</v>
      </c>
      <c r="D121" s="4" t="s">
        <v>604</v>
      </c>
      <c r="E121" s="4" t="s">
        <v>429</v>
      </c>
      <c r="F121" s="33" t="s">
        <v>574</v>
      </c>
      <c r="G121" s="33" t="s">
        <v>561</v>
      </c>
      <c r="H121" s="38" t="s">
        <v>680</v>
      </c>
      <c r="I121" s="35" t="s">
        <v>681</v>
      </c>
      <c r="J121" s="36" t="s">
        <v>564</v>
      </c>
      <c r="K121" s="37" t="s">
        <v>682</v>
      </c>
    </row>
    <row r="122" spans="1:11" ht="16.5">
      <c r="A122" s="22" t="s">
        <v>26</v>
      </c>
      <c r="B122" s="32" t="s">
        <v>36</v>
      </c>
      <c r="C122" s="32" t="s">
        <v>35</v>
      </c>
      <c r="D122" s="4" t="s">
        <v>659</v>
      </c>
      <c r="E122" s="4" t="s">
        <v>479</v>
      </c>
      <c r="F122" s="33" t="s">
        <v>574</v>
      </c>
      <c r="G122" s="33" t="s">
        <v>561</v>
      </c>
      <c r="H122" s="38" t="s">
        <v>680</v>
      </c>
      <c r="I122" s="35" t="s">
        <v>660</v>
      </c>
      <c r="J122" s="36" t="s">
        <v>564</v>
      </c>
      <c r="K122" s="37" t="s">
        <v>682</v>
      </c>
    </row>
    <row r="123" spans="1:11" ht="33">
      <c r="A123" s="22" t="s">
        <v>26</v>
      </c>
      <c r="B123" s="32" t="s">
        <v>36</v>
      </c>
      <c r="C123" s="32" t="s">
        <v>35</v>
      </c>
      <c r="D123" s="4" t="s">
        <v>657</v>
      </c>
      <c r="E123" s="4" t="s">
        <v>478</v>
      </c>
      <c r="F123" s="33" t="s">
        <v>574</v>
      </c>
      <c r="G123" s="33" t="s">
        <v>561</v>
      </c>
      <c r="H123" s="38" t="s">
        <v>513</v>
      </c>
      <c r="I123" s="35" t="s">
        <v>683</v>
      </c>
      <c r="J123" s="36" t="s">
        <v>564</v>
      </c>
      <c r="K123" s="37" t="s">
        <v>682</v>
      </c>
    </row>
    <row r="124" spans="1:11" ht="33">
      <c r="A124" s="22" t="s">
        <v>19</v>
      </c>
      <c r="B124" s="32" t="s">
        <v>23</v>
      </c>
      <c r="C124" s="32" t="s">
        <v>22</v>
      </c>
      <c r="D124" s="4" t="s">
        <v>568</v>
      </c>
      <c r="E124" s="4" t="s">
        <v>389</v>
      </c>
      <c r="F124" s="33" t="s">
        <v>574</v>
      </c>
      <c r="G124" s="33" t="s">
        <v>561</v>
      </c>
      <c r="H124" s="38" t="s">
        <v>428</v>
      </c>
      <c r="I124" s="35" t="s">
        <v>684</v>
      </c>
      <c r="J124" s="36" t="s">
        <v>575</v>
      </c>
      <c r="K124" s="37"/>
    </row>
    <row r="125" spans="1:11" ht="16.5">
      <c r="A125" s="22" t="s">
        <v>19</v>
      </c>
      <c r="B125" s="32" t="s">
        <v>23</v>
      </c>
      <c r="C125" s="32" t="s">
        <v>22</v>
      </c>
      <c r="D125" s="4" t="s">
        <v>620</v>
      </c>
      <c r="E125" s="4" t="s">
        <v>446</v>
      </c>
      <c r="F125" s="33" t="s">
        <v>574</v>
      </c>
      <c r="G125" s="33" t="s">
        <v>561</v>
      </c>
      <c r="H125" s="34" t="s">
        <v>200</v>
      </c>
      <c r="I125" s="35" t="s">
        <v>685</v>
      </c>
      <c r="J125" s="36" t="s">
        <v>575</v>
      </c>
      <c r="K125" s="37"/>
    </row>
    <row r="126" spans="1:11" ht="16.5">
      <c r="A126" s="22" t="s">
        <v>19</v>
      </c>
      <c r="B126" s="32" t="s">
        <v>23</v>
      </c>
      <c r="C126" s="32" t="s">
        <v>22</v>
      </c>
      <c r="D126" s="4" t="s">
        <v>565</v>
      </c>
      <c r="E126" s="4" t="s">
        <v>385</v>
      </c>
      <c r="F126" s="33" t="s">
        <v>574</v>
      </c>
      <c r="G126" s="33" t="s">
        <v>561</v>
      </c>
      <c r="H126" s="34" t="s">
        <v>514</v>
      </c>
      <c r="I126" s="35" t="s">
        <v>686</v>
      </c>
      <c r="J126" s="36" t="s">
        <v>575</v>
      </c>
      <c r="K126" s="37"/>
    </row>
    <row r="127" spans="1:11" ht="16.5">
      <c r="A127" s="22" t="s">
        <v>19</v>
      </c>
      <c r="B127" s="32" t="s">
        <v>23</v>
      </c>
      <c r="C127" s="32" t="s">
        <v>22</v>
      </c>
      <c r="D127" s="4" t="s">
        <v>577</v>
      </c>
      <c r="E127" s="4" t="s">
        <v>398</v>
      </c>
      <c r="F127" s="33" t="s">
        <v>574</v>
      </c>
      <c r="G127" s="33" t="s">
        <v>561</v>
      </c>
      <c r="H127" s="38" t="s">
        <v>428</v>
      </c>
      <c r="I127" s="35" t="s">
        <v>619</v>
      </c>
      <c r="J127" s="36" t="s">
        <v>575</v>
      </c>
      <c r="K127" s="37"/>
    </row>
    <row r="128" spans="1:11" ht="16.5">
      <c r="A128" s="22" t="s">
        <v>19</v>
      </c>
      <c r="B128" s="32" t="s">
        <v>23</v>
      </c>
      <c r="C128" s="32" t="s">
        <v>22</v>
      </c>
      <c r="D128" s="4" t="s">
        <v>570</v>
      </c>
      <c r="E128" s="4" t="s">
        <v>391</v>
      </c>
      <c r="F128" s="33" t="s">
        <v>574</v>
      </c>
      <c r="G128" s="33" t="s">
        <v>561</v>
      </c>
      <c r="H128" s="34" t="s">
        <v>515</v>
      </c>
      <c r="I128" s="35" t="s">
        <v>686</v>
      </c>
      <c r="J128" s="36" t="s">
        <v>575</v>
      </c>
      <c r="K128" s="37"/>
    </row>
    <row r="129" spans="1:11" ht="16.5">
      <c r="A129" s="22" t="s">
        <v>26</v>
      </c>
      <c r="B129" s="32" t="s">
        <v>25</v>
      </c>
      <c r="C129" s="32" t="s">
        <v>24</v>
      </c>
      <c r="D129" s="4" t="s">
        <v>579</v>
      </c>
      <c r="E129" s="4" t="s">
        <v>400</v>
      </c>
      <c r="F129" s="33" t="s">
        <v>104</v>
      </c>
      <c r="G129" s="33" t="s">
        <v>561</v>
      </c>
      <c r="H129" s="34" t="s">
        <v>687</v>
      </c>
      <c r="I129" s="35" t="s">
        <v>573</v>
      </c>
      <c r="J129" s="36" t="s">
        <v>564</v>
      </c>
      <c r="K129" s="37"/>
    </row>
    <row r="130" spans="1:11" ht="16.5">
      <c r="A130" s="22" t="s">
        <v>26</v>
      </c>
      <c r="B130" s="32" t="s">
        <v>25</v>
      </c>
      <c r="C130" s="32" t="s">
        <v>24</v>
      </c>
      <c r="D130" s="4" t="s">
        <v>623</v>
      </c>
      <c r="E130" s="4" t="s">
        <v>448</v>
      </c>
      <c r="F130" s="33" t="s">
        <v>104</v>
      </c>
      <c r="G130" s="33" t="s">
        <v>561</v>
      </c>
      <c r="H130" s="34" t="s">
        <v>518</v>
      </c>
      <c r="I130" s="35" t="s">
        <v>622</v>
      </c>
      <c r="J130" s="36" t="s">
        <v>564</v>
      </c>
      <c r="K130" s="37"/>
    </row>
    <row r="131" spans="1:11" ht="16.5">
      <c r="A131" s="22" t="s">
        <v>26</v>
      </c>
      <c r="B131" s="32" t="s">
        <v>25</v>
      </c>
      <c r="C131" s="32" t="s">
        <v>24</v>
      </c>
      <c r="D131" s="4" t="s">
        <v>572</v>
      </c>
      <c r="E131" s="4" t="s">
        <v>396</v>
      </c>
      <c r="F131" s="33" t="s">
        <v>104</v>
      </c>
      <c r="G131" s="33" t="s">
        <v>561</v>
      </c>
      <c r="H131" s="34" t="s">
        <v>688</v>
      </c>
      <c r="I131" s="35" t="s">
        <v>689</v>
      </c>
      <c r="J131" s="36" t="s">
        <v>564</v>
      </c>
      <c r="K131" s="37"/>
    </row>
    <row r="132" spans="1:11" ht="16.5">
      <c r="A132" s="40" t="s">
        <v>26</v>
      </c>
      <c r="B132" s="32" t="s">
        <v>25</v>
      </c>
      <c r="C132" s="32" t="s">
        <v>80</v>
      </c>
      <c r="D132" s="4" t="s">
        <v>634</v>
      </c>
      <c r="E132" s="4" t="s">
        <v>455</v>
      </c>
      <c r="F132" s="33" t="s">
        <v>104</v>
      </c>
      <c r="G132" s="33" t="s">
        <v>561</v>
      </c>
      <c r="H132" s="34" t="s">
        <v>521</v>
      </c>
      <c r="I132" s="35" t="s">
        <v>690</v>
      </c>
      <c r="J132" s="36" t="s">
        <v>564</v>
      </c>
      <c r="K132" s="37"/>
    </row>
    <row r="133" spans="1:11" ht="16.5">
      <c r="A133" s="40" t="s">
        <v>29</v>
      </c>
      <c r="B133" s="32" t="s">
        <v>28</v>
      </c>
      <c r="C133" s="32" t="s">
        <v>27</v>
      </c>
      <c r="D133" s="38" t="s">
        <v>623</v>
      </c>
      <c r="E133" s="38" t="s">
        <v>448</v>
      </c>
      <c r="F133" s="33" t="s">
        <v>574</v>
      </c>
      <c r="G133" s="33" t="s">
        <v>561</v>
      </c>
      <c r="H133" s="34" t="s">
        <v>522</v>
      </c>
      <c r="I133" s="35" t="s">
        <v>622</v>
      </c>
      <c r="J133" s="36" t="s">
        <v>564</v>
      </c>
      <c r="K133" s="37"/>
    </row>
    <row r="134" spans="1:11" ht="16.5">
      <c r="A134" s="40" t="s">
        <v>29</v>
      </c>
      <c r="B134" s="32" t="s">
        <v>28</v>
      </c>
      <c r="C134" s="32" t="s">
        <v>27</v>
      </c>
      <c r="D134" s="38" t="s">
        <v>579</v>
      </c>
      <c r="E134" s="38" t="s">
        <v>400</v>
      </c>
      <c r="F134" s="33" t="s">
        <v>574</v>
      </c>
      <c r="G134" s="33" t="s">
        <v>561</v>
      </c>
      <c r="H134" s="34" t="s">
        <v>522</v>
      </c>
      <c r="I134" s="38" t="s">
        <v>573</v>
      </c>
      <c r="J134" s="36" t="s">
        <v>564</v>
      </c>
      <c r="K134" s="37"/>
    </row>
    <row r="135" spans="1:11" ht="16.5">
      <c r="A135" s="40" t="s">
        <v>29</v>
      </c>
      <c r="B135" s="32" t="s">
        <v>28</v>
      </c>
      <c r="C135" s="32" t="s">
        <v>27</v>
      </c>
      <c r="D135" s="38" t="s">
        <v>587</v>
      </c>
      <c r="E135" s="38" t="s">
        <v>410</v>
      </c>
      <c r="F135" s="33" t="s">
        <v>574</v>
      </c>
      <c r="G135" s="33" t="s">
        <v>561</v>
      </c>
      <c r="H135" s="38" t="s">
        <v>691</v>
      </c>
      <c r="I135" s="38" t="s">
        <v>589</v>
      </c>
      <c r="J135" s="36" t="s">
        <v>564</v>
      </c>
      <c r="K135" s="37"/>
    </row>
    <row r="136" spans="1:11" ht="16.5">
      <c r="A136" s="40" t="s">
        <v>29</v>
      </c>
      <c r="B136" s="32" t="s">
        <v>28</v>
      </c>
      <c r="C136" s="32" t="s">
        <v>27</v>
      </c>
      <c r="D136" s="38" t="s">
        <v>577</v>
      </c>
      <c r="E136" s="38" t="s">
        <v>398</v>
      </c>
      <c r="F136" s="33" t="s">
        <v>574</v>
      </c>
      <c r="G136" s="33" t="s">
        <v>561</v>
      </c>
      <c r="H136" s="34" t="s">
        <v>524</v>
      </c>
      <c r="I136" s="38" t="s">
        <v>578</v>
      </c>
      <c r="J136" s="36" t="s">
        <v>564</v>
      </c>
      <c r="K136" s="37"/>
    </row>
    <row r="137" spans="1:11" ht="16.5">
      <c r="A137" s="40" t="s">
        <v>29</v>
      </c>
      <c r="B137" s="32" t="s">
        <v>28</v>
      </c>
      <c r="C137" s="32" t="s">
        <v>27</v>
      </c>
      <c r="D137" s="38" t="s">
        <v>572</v>
      </c>
      <c r="E137" s="38" t="s">
        <v>396</v>
      </c>
      <c r="F137" s="33" t="s">
        <v>574</v>
      </c>
      <c r="G137" s="33" t="s">
        <v>561</v>
      </c>
      <c r="H137" s="38" t="s">
        <v>525</v>
      </c>
      <c r="I137" s="38" t="s">
        <v>589</v>
      </c>
      <c r="J137" s="36" t="s">
        <v>564</v>
      </c>
      <c r="K137" s="41" t="s">
        <v>618</v>
      </c>
    </row>
    <row r="138" spans="1:11" ht="16.5">
      <c r="A138" s="43" t="s">
        <v>51</v>
      </c>
      <c r="B138" s="44" t="s">
        <v>64</v>
      </c>
      <c r="C138" s="44" t="s">
        <v>92</v>
      </c>
      <c r="D138" s="45" t="s">
        <v>560</v>
      </c>
      <c r="E138" s="45" t="s">
        <v>382</v>
      </c>
      <c r="F138" s="46" t="s">
        <v>104</v>
      </c>
      <c r="G138" s="46" t="s">
        <v>561</v>
      </c>
      <c r="H138" s="47" t="s">
        <v>526</v>
      </c>
      <c r="I138" s="48" t="s">
        <v>692</v>
      </c>
      <c r="J138" s="36" t="s">
        <v>575</v>
      </c>
      <c r="K138" s="37"/>
    </row>
    <row r="139" spans="1:11" ht="16.5">
      <c r="A139" s="49" t="s">
        <v>51</v>
      </c>
      <c r="B139" s="44" t="s">
        <v>64</v>
      </c>
      <c r="C139" s="44" t="s">
        <v>97</v>
      </c>
      <c r="D139" s="45" t="s">
        <v>652</v>
      </c>
      <c r="E139" s="45" t="s">
        <v>466</v>
      </c>
      <c r="F139" s="46" t="s">
        <v>574</v>
      </c>
      <c r="G139" s="46" t="s">
        <v>561</v>
      </c>
      <c r="H139" s="50" t="s">
        <v>527</v>
      </c>
      <c r="I139" s="48" t="s">
        <v>693</v>
      </c>
      <c r="J139" s="36" t="s">
        <v>564</v>
      </c>
      <c r="K139" s="37"/>
    </row>
    <row r="140" spans="1:11" ht="16.5">
      <c r="A140" s="49" t="s">
        <v>51</v>
      </c>
      <c r="B140" s="44" t="s">
        <v>64</v>
      </c>
      <c r="C140" s="44" t="s">
        <v>97</v>
      </c>
      <c r="D140" s="50" t="s">
        <v>649</v>
      </c>
      <c r="E140" s="50" t="s">
        <v>464</v>
      </c>
      <c r="F140" s="46" t="s">
        <v>574</v>
      </c>
      <c r="G140" s="46" t="s">
        <v>561</v>
      </c>
      <c r="H140" s="50" t="s">
        <v>528</v>
      </c>
      <c r="I140" s="48" t="s">
        <v>693</v>
      </c>
      <c r="J140" s="36" t="s">
        <v>564</v>
      </c>
      <c r="K140" s="37"/>
    </row>
    <row r="141" spans="1:11" ht="16.5">
      <c r="A141" s="22" t="s">
        <v>51</v>
      </c>
      <c r="B141" s="44" t="s">
        <v>64</v>
      </c>
      <c r="C141" s="32" t="s">
        <v>63</v>
      </c>
      <c r="D141" s="4" t="s">
        <v>565</v>
      </c>
      <c r="E141" s="4" t="s">
        <v>385</v>
      </c>
      <c r="F141" s="33" t="s">
        <v>574</v>
      </c>
      <c r="G141" s="33" t="s">
        <v>561</v>
      </c>
      <c r="H141" s="34" t="s">
        <v>241</v>
      </c>
      <c r="I141" s="35">
        <v>6800</v>
      </c>
      <c r="J141" s="36" t="s">
        <v>575</v>
      </c>
      <c r="K141" s="37"/>
    </row>
    <row r="142" spans="1:11" ht="16.5">
      <c r="A142" s="22" t="s">
        <v>51</v>
      </c>
      <c r="B142" s="44" t="s">
        <v>64</v>
      </c>
      <c r="C142" s="32" t="s">
        <v>63</v>
      </c>
      <c r="D142" s="4" t="s">
        <v>568</v>
      </c>
      <c r="E142" s="4" t="s">
        <v>389</v>
      </c>
      <c r="F142" s="33" t="s">
        <v>574</v>
      </c>
      <c r="G142" s="33" t="s">
        <v>561</v>
      </c>
      <c r="H142" s="38" t="s">
        <v>529</v>
      </c>
      <c r="I142" s="35" t="s">
        <v>694</v>
      </c>
      <c r="J142" s="36" t="s">
        <v>575</v>
      </c>
      <c r="K142" s="37"/>
    </row>
    <row r="143" spans="1:11" ht="16.5">
      <c r="A143" s="51" t="s">
        <v>51</v>
      </c>
      <c r="B143" s="44" t="s">
        <v>64</v>
      </c>
      <c r="C143" s="52" t="s">
        <v>63</v>
      </c>
      <c r="D143" s="17" t="s">
        <v>616</v>
      </c>
      <c r="E143" s="17" t="s">
        <v>443</v>
      </c>
      <c r="F143" s="52" t="s">
        <v>104</v>
      </c>
      <c r="G143" s="52" t="s">
        <v>561</v>
      </c>
      <c r="H143" s="53" t="s">
        <v>529</v>
      </c>
      <c r="I143" s="53" t="s">
        <v>695</v>
      </c>
      <c r="J143" s="36" t="s">
        <v>575</v>
      </c>
      <c r="K143" s="41" t="s">
        <v>618</v>
      </c>
    </row>
    <row r="144" spans="1:11" ht="49.5">
      <c r="A144" s="51" t="s">
        <v>51</v>
      </c>
      <c r="B144" s="44" t="s">
        <v>64</v>
      </c>
      <c r="C144" s="52" t="s">
        <v>63</v>
      </c>
      <c r="D144" s="17" t="s">
        <v>570</v>
      </c>
      <c r="E144" s="17" t="s">
        <v>391</v>
      </c>
      <c r="F144" s="52" t="s">
        <v>104</v>
      </c>
      <c r="G144" s="52" t="s">
        <v>561</v>
      </c>
      <c r="H144" s="54" t="s">
        <v>530</v>
      </c>
      <c r="I144" s="53" t="s">
        <v>696</v>
      </c>
      <c r="J144" s="36" t="s">
        <v>575</v>
      </c>
      <c r="K144" s="41" t="s">
        <v>618</v>
      </c>
    </row>
    <row r="145" spans="1:11" ht="16.5">
      <c r="A145" s="51" t="s">
        <v>51</v>
      </c>
      <c r="B145" s="44" t="s">
        <v>64</v>
      </c>
      <c r="C145" s="52" t="s">
        <v>63</v>
      </c>
      <c r="D145" s="17" t="s">
        <v>580</v>
      </c>
      <c r="E145" s="17" t="s">
        <v>402</v>
      </c>
      <c r="F145" s="52" t="s">
        <v>104</v>
      </c>
      <c r="G145" s="52" t="s">
        <v>561</v>
      </c>
      <c r="H145" s="54" t="s">
        <v>530</v>
      </c>
      <c r="I145" s="53" t="s">
        <v>697</v>
      </c>
      <c r="J145" s="36" t="s">
        <v>575</v>
      </c>
      <c r="K145" s="41" t="s">
        <v>618</v>
      </c>
    </row>
    <row r="146" spans="1:11" ht="16.5">
      <c r="A146" s="51" t="s">
        <v>51</v>
      </c>
      <c r="B146" s="44" t="s">
        <v>64</v>
      </c>
      <c r="C146" s="52" t="s">
        <v>63</v>
      </c>
      <c r="D146" s="17" t="s">
        <v>587</v>
      </c>
      <c r="E146" s="17" t="s">
        <v>410</v>
      </c>
      <c r="F146" s="52" t="s">
        <v>104</v>
      </c>
      <c r="G146" s="52" t="s">
        <v>561</v>
      </c>
      <c r="H146" s="53" t="s">
        <v>428</v>
      </c>
      <c r="I146" s="53" t="s">
        <v>589</v>
      </c>
      <c r="J146" s="36" t="s">
        <v>575</v>
      </c>
      <c r="K146" s="41" t="s">
        <v>618</v>
      </c>
    </row>
    <row r="147" spans="1:11" ht="16.5">
      <c r="A147" s="22" t="s">
        <v>29</v>
      </c>
      <c r="B147" s="32" t="s">
        <v>48</v>
      </c>
      <c r="C147" s="32" t="s">
        <v>47</v>
      </c>
      <c r="D147" s="4" t="s">
        <v>620</v>
      </c>
      <c r="E147" s="4" t="s">
        <v>446</v>
      </c>
      <c r="F147" s="33" t="s">
        <v>104</v>
      </c>
      <c r="G147" s="33" t="s">
        <v>561</v>
      </c>
      <c r="H147" s="34" t="s">
        <v>531</v>
      </c>
      <c r="I147" s="35" t="s">
        <v>698</v>
      </c>
      <c r="J147" s="36" t="s">
        <v>575</v>
      </c>
      <c r="K147" s="37"/>
    </row>
    <row r="148" spans="1:11" ht="16.5">
      <c r="A148" s="22" t="s">
        <v>29</v>
      </c>
      <c r="B148" s="32" t="s">
        <v>48</v>
      </c>
      <c r="C148" s="32" t="s">
        <v>47</v>
      </c>
      <c r="D148" s="4" t="s">
        <v>580</v>
      </c>
      <c r="E148" s="4" t="s">
        <v>402</v>
      </c>
      <c r="F148" s="33" t="s">
        <v>104</v>
      </c>
      <c r="G148" s="33" t="s">
        <v>561</v>
      </c>
      <c r="H148" s="38" t="s">
        <v>699</v>
      </c>
      <c r="I148" s="35" t="s">
        <v>698</v>
      </c>
      <c r="J148" s="36" t="s">
        <v>575</v>
      </c>
      <c r="K148" s="37"/>
    </row>
    <row r="149" spans="1:11" ht="16.5">
      <c r="A149" s="40" t="s">
        <v>29</v>
      </c>
      <c r="B149" s="32" t="s">
        <v>48</v>
      </c>
      <c r="C149" s="32" t="s">
        <v>85</v>
      </c>
      <c r="D149" s="4" t="s">
        <v>565</v>
      </c>
      <c r="E149" s="4" t="s">
        <v>385</v>
      </c>
      <c r="F149" s="33" t="s">
        <v>104</v>
      </c>
      <c r="G149" s="33" t="s">
        <v>561</v>
      </c>
      <c r="H149" s="34" t="s">
        <v>309</v>
      </c>
      <c r="I149" s="35" t="s">
        <v>567</v>
      </c>
      <c r="J149" s="36" t="s">
        <v>564</v>
      </c>
      <c r="K149" s="37"/>
    </row>
    <row r="150" spans="1:11" ht="16.5">
      <c r="A150" s="40" t="s">
        <v>29</v>
      </c>
      <c r="B150" s="32" t="s">
        <v>48</v>
      </c>
      <c r="C150" s="32" t="s">
        <v>85</v>
      </c>
      <c r="D150" s="4" t="s">
        <v>568</v>
      </c>
      <c r="E150" s="4" t="s">
        <v>389</v>
      </c>
      <c r="F150" s="33" t="s">
        <v>104</v>
      </c>
      <c r="G150" s="33" t="s">
        <v>561</v>
      </c>
      <c r="H150" s="38" t="s">
        <v>534</v>
      </c>
      <c r="I150" s="35" t="s">
        <v>700</v>
      </c>
      <c r="J150" s="36" t="s">
        <v>564</v>
      </c>
      <c r="K150" s="37"/>
    </row>
    <row r="151" spans="1:11" ht="16.5">
      <c r="A151" s="40" t="s">
        <v>29</v>
      </c>
      <c r="B151" s="32" t="s">
        <v>48</v>
      </c>
      <c r="C151" s="55" t="s">
        <v>85</v>
      </c>
      <c r="D151" s="9" t="s">
        <v>570</v>
      </c>
      <c r="E151" s="4" t="s">
        <v>391</v>
      </c>
      <c r="F151" s="33" t="s">
        <v>104</v>
      </c>
      <c r="G151" s="33" t="s">
        <v>561</v>
      </c>
      <c r="H151" s="38" t="s">
        <v>701</v>
      </c>
      <c r="I151" s="35" t="s">
        <v>567</v>
      </c>
      <c r="J151" s="36" t="s">
        <v>564</v>
      </c>
      <c r="K151" s="37"/>
    </row>
  </sheetData>
  <autoFilter ref="A1:K151" xr:uid="{9B937D09-B871-4A56-97B9-A41FD8223C68}"/>
  <phoneticPr fontId="23" type="noConversion"/>
  <hyperlinks>
    <hyperlink ref="A9" r:id="rId1" xr:uid="{D2DEE44B-6C91-4B58-95C8-50A4EB4F57A1}"/>
    <hyperlink ref="A10" r:id="rId2" xr:uid="{FEF113B4-905D-4AF8-8912-BFED84315F2E}"/>
    <hyperlink ref="A11" r:id="rId3" xr:uid="{169D2DFA-AB0D-43A5-92FE-CE055D718965}"/>
    <hyperlink ref="A12" r:id="rId4" xr:uid="{CEDF5B7F-F16D-483E-975B-989FF012C11F}"/>
    <hyperlink ref="A13" r:id="rId5" xr:uid="{E96BC48F-98FB-4814-9D36-32519CB35E15}"/>
    <hyperlink ref="A15" r:id="rId6" xr:uid="{0294CEE6-01CA-4E16-A8DA-423321557868}"/>
    <hyperlink ref="A16" r:id="rId7" xr:uid="{AED96150-2A38-4CBC-90CC-099C68733E55}"/>
    <hyperlink ref="A17" r:id="rId8" xr:uid="{2179AB71-53EA-422B-91C0-A448A48DD247}"/>
    <hyperlink ref="A23" r:id="rId9" xr:uid="{EFA47BDD-D4AC-41C8-B069-2F332603EA7D}"/>
    <hyperlink ref="A26" r:id="rId10" xr:uid="{5C511DA9-1580-455A-AB49-46E2EEAF9AB8}"/>
    <hyperlink ref="A38" r:id="rId11" xr:uid="{FE9E0997-982A-4335-89C0-6BAE94E14CEA}"/>
    <hyperlink ref="A51" r:id="rId12" xr:uid="{A2E0D601-8494-460D-838D-EC4A6905824B}"/>
    <hyperlink ref="A52" r:id="rId13" xr:uid="{53D5FAA7-FBDD-46E0-A74F-22D0C25C85DF}"/>
    <hyperlink ref="A53" r:id="rId14" xr:uid="{D616E32D-D6C2-4C6C-A624-0748E6DC6C3A}"/>
    <hyperlink ref="A58" r:id="rId15" xr:uid="{8F2B332F-412A-4695-BC4A-317EE39F44C3}"/>
    <hyperlink ref="A59" r:id="rId16" xr:uid="{88D9A3A1-3D04-41EE-8B31-F606B0418762}"/>
    <hyperlink ref="A62" r:id="rId17" xr:uid="{50972BC9-890F-4A88-9084-4049C4014591}"/>
    <hyperlink ref="A63" r:id="rId18" xr:uid="{54BBADB8-98FC-4EFC-907B-7F46DFB2D4AD}"/>
    <hyperlink ref="A64" r:id="rId19" xr:uid="{87A7B645-43FC-4EDE-9AA4-CF8ED005AFBE}"/>
    <hyperlink ref="A95" r:id="rId20" xr:uid="{067FF2C4-8141-4CB4-82B9-53F842114FFB}"/>
    <hyperlink ref="A96" r:id="rId21" xr:uid="{9925F96D-1AC5-4E4C-987B-D3F37F24F3C0}"/>
    <hyperlink ref="A97" r:id="rId22" xr:uid="{47902748-9D6A-434D-9E82-3CF93555E399}"/>
    <hyperlink ref="A99" r:id="rId23" xr:uid="{2683A72B-019B-4A58-854F-C8A4D4546159}"/>
    <hyperlink ref="A100" r:id="rId24" xr:uid="{D03BD8E6-F1F2-44A9-9C8D-726D1A589FE5}"/>
    <hyperlink ref="A101" r:id="rId25" xr:uid="{E7ACC8FD-A820-4122-97AB-C0D6BF14E657}"/>
    <hyperlink ref="A102" r:id="rId26" xr:uid="{6896FC2F-4F70-4C1F-8161-60292AEF1AA4}"/>
    <hyperlink ref="A110" r:id="rId27" xr:uid="{72942C87-2F13-45BB-B1E0-750885B4E5BB}"/>
    <hyperlink ref="A111" r:id="rId28" xr:uid="{ACE50847-3E97-4C52-A48D-5EF7A55271B1}"/>
    <hyperlink ref="A112" r:id="rId29" xr:uid="{6021E714-A1E5-41C9-87A7-88EDA3FAF1C6}"/>
    <hyperlink ref="A117" r:id="rId30" xr:uid="{79C06897-3908-42DB-9F29-86A481853FF9}"/>
    <hyperlink ref="A120" r:id="rId31" xr:uid="{69AFA1C7-F818-407A-85F1-1F677A1477C5}"/>
    <hyperlink ref="A132" r:id="rId32" xr:uid="{67136637-0EA9-4994-B49D-D2763D185F96}"/>
    <hyperlink ref="A133" r:id="rId33" xr:uid="{F10247BC-6DEE-44E8-9EED-6979C82D13A8}"/>
    <hyperlink ref="A134" r:id="rId34" xr:uid="{1AA4B73F-8509-4BA0-8353-CDA33B77223E}"/>
    <hyperlink ref="A135" r:id="rId35" xr:uid="{12344C90-6EA4-4EA7-AD71-8B238BC9C46D}"/>
    <hyperlink ref="A136" r:id="rId36" xr:uid="{892A5345-81C9-42C1-B2C0-BE9102473F8C}"/>
    <hyperlink ref="A137" r:id="rId37" xr:uid="{E9ABD12D-1044-40DB-96C9-8407AC1C7E47}"/>
    <hyperlink ref="A139" r:id="rId38" xr:uid="{0BA0C304-6F65-4147-9DEB-503906A0F36C}"/>
    <hyperlink ref="A140" r:id="rId39" xr:uid="{B443E5BE-FD24-45CE-9AF7-ABD1989367C7}"/>
    <hyperlink ref="A149" r:id="rId40" xr:uid="{B4121A9B-CD40-4878-9C31-FC5896E10F4B}"/>
    <hyperlink ref="A150" r:id="rId41" xr:uid="{E8DC0DDC-CB0A-42C2-B9D2-9098750C781C}"/>
    <hyperlink ref="A151" r:id="rId42" xr:uid="{E906D953-46F9-4C0B-8BA2-60B979478EF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954A-E4C8-4B65-97A7-35B8205ED7B3}">
  <dimension ref="F1:H29"/>
  <sheetViews>
    <sheetView topLeftCell="A19" workbookViewId="0">
      <selection activeCell="K10" sqref="A10:K14"/>
    </sheetView>
  </sheetViews>
  <sheetFormatPr defaultRowHeight="14.25"/>
  <cols>
    <col min="7" max="7" width="18.75" customWidth="1"/>
    <col min="8" max="8" width="48.375" customWidth="1"/>
  </cols>
  <sheetData>
    <row r="1" spans="6:8" ht="16.5">
      <c r="G1" s="31" t="s">
        <v>553</v>
      </c>
      <c r="H1" t="s">
        <v>702</v>
      </c>
    </row>
    <row r="2" spans="6:8" ht="16.5">
      <c r="F2">
        <v>1</v>
      </c>
      <c r="G2" t="s">
        <v>584</v>
      </c>
      <c r="H2" s="63" t="s">
        <v>407</v>
      </c>
    </row>
    <row r="3" spans="6:8" ht="16.5">
      <c r="F3">
        <v>2</v>
      </c>
      <c r="G3" t="s">
        <v>577</v>
      </c>
      <c r="H3" s="63" t="s">
        <v>398</v>
      </c>
    </row>
    <row r="4" spans="6:8">
      <c r="F4">
        <v>3</v>
      </c>
      <c r="G4" t="s">
        <v>435</v>
      </c>
      <c r="H4" t="s">
        <v>435</v>
      </c>
    </row>
    <row r="5" spans="6:8" ht="16.5">
      <c r="F5">
        <v>4</v>
      </c>
      <c r="G5" t="s">
        <v>623</v>
      </c>
      <c r="H5" s="63" t="s">
        <v>448</v>
      </c>
    </row>
    <row r="6" spans="6:8" ht="16.5">
      <c r="F6">
        <v>5</v>
      </c>
      <c r="G6" t="s">
        <v>579</v>
      </c>
      <c r="H6" s="63" t="s">
        <v>400</v>
      </c>
    </row>
    <row r="7" spans="6:8" ht="16.5">
      <c r="F7">
        <v>6</v>
      </c>
      <c r="G7" t="s">
        <v>587</v>
      </c>
      <c r="H7" s="63" t="s">
        <v>410</v>
      </c>
    </row>
    <row r="8" spans="6:8">
      <c r="F8">
        <v>7</v>
      </c>
      <c r="G8" t="s">
        <v>431</v>
      </c>
      <c r="H8" t="s">
        <v>431</v>
      </c>
    </row>
    <row r="9" spans="6:8" ht="16.5">
      <c r="F9">
        <v>8</v>
      </c>
      <c r="G9" t="s">
        <v>568</v>
      </c>
      <c r="H9" s="63" t="s">
        <v>389</v>
      </c>
    </row>
    <row r="10" spans="6:8">
      <c r="F10">
        <v>9</v>
      </c>
      <c r="G10" t="s">
        <v>659</v>
      </c>
      <c r="H10" s="62" t="s">
        <v>479</v>
      </c>
    </row>
    <row r="11" spans="6:8" ht="16.5">
      <c r="F11">
        <v>10</v>
      </c>
      <c r="G11" t="s">
        <v>620</v>
      </c>
      <c r="H11" s="63" t="s">
        <v>446</v>
      </c>
    </row>
    <row r="12" spans="6:8">
      <c r="F12">
        <v>11</v>
      </c>
      <c r="G12" t="s">
        <v>604</v>
      </c>
      <c r="H12" s="65" t="s">
        <v>429</v>
      </c>
    </row>
    <row r="13" spans="6:8">
      <c r="F13">
        <v>12</v>
      </c>
      <c r="G13" t="s">
        <v>436</v>
      </c>
      <c r="H13" t="s">
        <v>436</v>
      </c>
    </row>
    <row r="14" spans="6:8">
      <c r="F14">
        <v>13</v>
      </c>
      <c r="G14" t="s">
        <v>439</v>
      </c>
      <c r="H14" t="s">
        <v>439</v>
      </c>
    </row>
    <row r="15" spans="6:8" ht="16.5">
      <c r="F15">
        <v>14</v>
      </c>
      <c r="G15" t="s">
        <v>657</v>
      </c>
      <c r="H15" s="63" t="s">
        <v>478</v>
      </c>
    </row>
    <row r="16" spans="6:8" ht="16.5">
      <c r="F16">
        <v>15</v>
      </c>
      <c r="G16" t="s">
        <v>572</v>
      </c>
      <c r="H16" s="63" t="s">
        <v>396</v>
      </c>
    </row>
    <row r="17" spans="6:8" ht="16.5">
      <c r="F17">
        <v>16</v>
      </c>
      <c r="G17" t="s">
        <v>634</v>
      </c>
      <c r="H17" s="64" t="s">
        <v>455</v>
      </c>
    </row>
    <row r="18" spans="6:8" ht="16.5">
      <c r="F18">
        <v>17</v>
      </c>
      <c r="G18" t="s">
        <v>649</v>
      </c>
      <c r="H18" s="63" t="s">
        <v>464</v>
      </c>
    </row>
    <row r="19" spans="6:8" ht="16.5">
      <c r="F19">
        <v>18</v>
      </c>
      <c r="G19" t="s">
        <v>652</v>
      </c>
      <c r="H19" s="63" t="s">
        <v>466</v>
      </c>
    </row>
    <row r="20" spans="6:8" ht="16.5">
      <c r="F20">
        <v>19</v>
      </c>
      <c r="G20" t="s">
        <v>581</v>
      </c>
      <c r="H20" s="63" t="s">
        <v>405</v>
      </c>
    </row>
    <row r="21" spans="6:8" ht="16.5">
      <c r="F21">
        <v>20</v>
      </c>
      <c r="G21" t="s">
        <v>624</v>
      </c>
      <c r="H21" s="63" t="s">
        <v>450</v>
      </c>
    </row>
    <row r="22" spans="6:8" ht="16.5">
      <c r="F22">
        <v>21</v>
      </c>
      <c r="G22" t="s">
        <v>627</v>
      </c>
      <c r="H22" s="64" t="s">
        <v>451</v>
      </c>
    </row>
    <row r="23" spans="6:8" ht="16.5">
      <c r="F23">
        <v>22</v>
      </c>
      <c r="G23" t="s">
        <v>580</v>
      </c>
      <c r="H23" s="63" t="s">
        <v>402</v>
      </c>
    </row>
    <row r="24" spans="6:8">
      <c r="F24">
        <v>23</v>
      </c>
      <c r="G24" t="s">
        <v>438</v>
      </c>
      <c r="H24" t="s">
        <v>438</v>
      </c>
    </row>
    <row r="25" spans="6:8" ht="16.5">
      <c r="F25">
        <v>24</v>
      </c>
      <c r="G25" t="s">
        <v>616</v>
      </c>
      <c r="H25" s="63" t="s">
        <v>443</v>
      </c>
    </row>
    <row r="26" spans="6:8" ht="16.5">
      <c r="F26">
        <v>25</v>
      </c>
      <c r="G26" t="s">
        <v>594</v>
      </c>
      <c r="H26" s="63" t="s">
        <v>418</v>
      </c>
    </row>
    <row r="27" spans="6:8" ht="16.5">
      <c r="F27">
        <v>26</v>
      </c>
      <c r="G27" t="s">
        <v>565</v>
      </c>
      <c r="H27" s="63" t="s">
        <v>385</v>
      </c>
    </row>
    <row r="28" spans="6:8" ht="16.5">
      <c r="F28">
        <v>27</v>
      </c>
      <c r="G28" t="s">
        <v>570</v>
      </c>
      <c r="H28" s="63" t="s">
        <v>391</v>
      </c>
    </row>
    <row r="29" spans="6:8" ht="16.5">
      <c r="F29">
        <v>28</v>
      </c>
      <c r="G29" t="s">
        <v>560</v>
      </c>
      <c r="H29" s="64" t="s">
        <v>382</v>
      </c>
    </row>
  </sheetData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D82C3B3CC2645B22AC304D5F8EA99" ma:contentTypeVersion="19" ma:contentTypeDescription="Create a new document." ma:contentTypeScope="" ma:versionID="09dca02063eee1053ada95d708550571">
  <xsd:schema xmlns:xsd="http://www.w3.org/2001/XMLSchema" xmlns:xs="http://www.w3.org/2001/XMLSchema" xmlns:p="http://schemas.microsoft.com/office/2006/metadata/properties" xmlns:ns2="886f7116-9c9a-45ab-8ca5-0c1a75e4b93f" xmlns:ns3="73572cef-98c3-4bab-a4f3-0093dbcfa6fc" targetNamespace="http://schemas.microsoft.com/office/2006/metadata/properties" ma:root="true" ma:fieldsID="8c69dde20a7589f5f4d32cdc58b37af1" ns2:_="" ns3:_="">
    <xsd:import namespace="886f7116-9c9a-45ab-8ca5-0c1a75e4b93f"/>
    <xsd:import namespace="73572cef-98c3-4bab-a4f3-0093dbcfa6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wner" minOccurs="0"/>
                <xsd:element ref="ns2:_x6587__x6863__x8bf4__x660e_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f7116-9c9a-45ab-8ca5-0c1a75e4b9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986780c-a568-4724-925c-88b54baf6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owner" ma:index="22" nillable="true" ma:displayName="owner" ma:format="Dropdown" ma:list="UserInfo" ma:SharePointGroup="0" ma:internalName="own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x6587__x6863__x8bf4__x660e_" ma:index="23" nillable="true" ma:displayName="文档说明" ma:format="Dropdown" ma:internalName="_x6587__x6863__x8bf4__x660e_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72cef-98c3-4bab-a4f3-0093dbcfa6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07cd3f-d0f0-4972-a039-eb25f3ea3e33}" ma:internalName="TaxCatchAll" ma:showField="CatchAllData" ma:web="73572cef-98c3-4bab-a4f3-0093dbcfa6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886f7116-9c9a-45ab-8ca5-0c1a75e4b93f">
      <UserInfo>
        <DisplayName/>
        <AccountId xsi:nil="true"/>
        <AccountType/>
      </UserInfo>
    </owner>
    <lcf76f155ced4ddcb4097134ff3c332f xmlns="886f7116-9c9a-45ab-8ca5-0c1a75e4b93f">
      <Terms xmlns="http://schemas.microsoft.com/office/infopath/2007/PartnerControls"/>
    </lcf76f155ced4ddcb4097134ff3c332f>
    <_x6587__x6863__x8bf4__x660e_ xmlns="886f7116-9c9a-45ab-8ca5-0c1a75e4b93f" xsi:nil="true"/>
    <TaxCatchAll xmlns="73572cef-98c3-4bab-a4f3-0093dbcfa6fc" xsi:nil="true"/>
  </documentManagement>
</p:properties>
</file>

<file path=customXml/itemProps1.xml><?xml version="1.0" encoding="utf-8"?>
<ds:datastoreItem xmlns:ds="http://schemas.openxmlformats.org/officeDocument/2006/customXml" ds:itemID="{7539BEB6-A698-48F5-B00F-2115FACC8C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1721EF-AD61-414D-8DD1-E825D3FE9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6f7116-9c9a-45ab-8ca5-0c1a75e4b93f"/>
    <ds:schemaRef ds:uri="73572cef-98c3-4bab-a4f3-0093dbcfa6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2B0B9F-2EB8-4DDF-94D0-CC5B0EC7F4B9}">
  <ds:schemaRefs>
    <ds:schemaRef ds:uri="http://www.w3.org/XML/1998/namespace"/>
    <ds:schemaRef ds:uri="73572cef-98c3-4bab-a4f3-0093dbcfa6fc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86f7116-9c9a-45ab-8ca5-0c1a75e4b93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渠道培训中心基础信息</vt:lpstr>
      <vt:lpstr>Sheet1</vt:lpstr>
      <vt:lpstr>渠道承接方案信息</vt:lpstr>
      <vt:lpstr>历史基础信息</vt:lpstr>
      <vt:lpstr>历史方案信息</vt:lpstr>
      <vt:lpstr>基础信息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胡俊涛 Hu Juntao</dc:creator>
  <cp:keywords/>
  <dc:description/>
  <cp:lastModifiedBy>胡俊涛 Hu Juntao</cp:lastModifiedBy>
  <cp:revision/>
  <dcterms:created xsi:type="dcterms:W3CDTF">2026-05-28T06:44:08Z</dcterms:created>
  <dcterms:modified xsi:type="dcterms:W3CDTF">2026-07-07T07:50:24Z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0x010100078D82C3B3CC2645B22AC304D5F8EA99</vt:lpwstr>
  </property>
  <property fmtid="{D5CDD505-2E9C-101B-9397-08002B2CF9AE}" pid="3" name="MediaServiceImageTags">
    <vt:lpwstr/>
  </property>
</Properties>
</file>